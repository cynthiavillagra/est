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on" sheetId="1" state="visible" r:id="rId1"/>
    <sheet name="Vehiculos" sheetId="2" state="visible" r:id="rId2"/>
    <sheet name="Movimientos" sheetId="3" state="visible" r:id="rId3"/>
    <sheet name="Estadisticas" sheetId="4" state="visible" r:id="rId4"/>
    <sheet name="Usuarios" sheetId="5" state="visible" r:id="rId5"/>
    <sheet name="Dashboard_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0F4FF"/>
      <sz val="11"/>
    </font>
    <font>
      <name val="Calibri"/>
      <color rgb="00333333"/>
      <sz val="10"/>
    </font>
    <font>
      <name val="Calibri"/>
      <i val="1"/>
      <color rgb="0092400E"/>
      <sz val="10"/>
    </font>
    <font>
      <b val="1"/>
      <color rgb="001E40AF"/>
      <sz val="11"/>
    </font>
    <font>
      <b val="1"/>
      <color rgb="001E40AF"/>
    </font>
    <font>
      <name val="Calibri"/>
      <b val="1"/>
      <color rgb="001E40AF"/>
      <sz val="10"/>
    </font>
    <font>
      <name val="Consolas"/>
      <color rgb="0092400E"/>
      <sz val="9"/>
    </font>
    <font>
      <name val="Calibri"/>
      <strike val="1"/>
      <color rgb="009CA3AF"/>
      <sz val="10"/>
    </font>
    <font>
      <name val="Calibri"/>
      <b val="1"/>
      <color rgb="001E40AF"/>
      <sz val="14"/>
    </font>
    <font>
      <b val="1"/>
      <sz val="10"/>
    </font>
    <font>
      <name val="Consolas"/>
      <color rgb="006B7280"/>
      <sz val="8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7" fillId="4" borderId="1" pivotButton="0" quotePrefix="0" xfId="0"/>
    <xf numFmtId="0" fontId="0" fillId="4" borderId="1" pivotButton="0" quotePrefix="0" xfId="0"/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" fillId="2" borderId="1" pivotButton="0" quotePrefix="0" xfId="0"/>
    <xf numFmtId="0" fontId="10" fillId="3" borderId="1" pivotButton="0" quotePrefix="0" xfId="0"/>
    <xf numFmtId="0" fontId="3" fillId="3" borderId="1" pivotButton="0" quotePrefix="0" xfId="0"/>
    <xf numFmtId="0" fontId="11" fillId="3" borderId="1" pivotButton="0" quotePrefix="0" xfId="0"/>
    <xf numFmtId="0" fontId="10" fillId="4" borderId="1" pivotButton="0" quotePrefix="0" xfId="0"/>
    <xf numFmtId="0" fontId="3" fillId="4" borderId="1" pivotButton="0" quotePrefix="0" xfId="0"/>
    <xf numFmtId="0" fontId="11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3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descripcion</t>
        </is>
      </c>
    </row>
    <row r="2">
      <c r="A2" s="2" t="inlineStr">
        <is>
          <t>capacidad_total</t>
        </is>
      </c>
      <c r="B2" s="2" t="n">
        <v>30</v>
      </c>
      <c r="C2" s="2" t="inlineStr">
        <is>
          <t>Cantidad total de lugares de estacionamiento</t>
        </is>
      </c>
    </row>
    <row r="3">
      <c r="A3" s="3" t="inlineStr">
        <is>
          <t>tarifa_hora</t>
        </is>
      </c>
      <c r="B3" s="3" t="n">
        <v>500</v>
      </c>
      <c r="C3" s="3" t="inlineStr">
        <is>
          <t>Tarifa por hora en pesos</t>
        </is>
      </c>
    </row>
    <row r="4">
      <c r="A4" s="2" t="inlineStr">
        <is>
          <t>tarifa_fraccion</t>
        </is>
      </c>
      <c r="B4" s="2" t="n">
        <v>250</v>
      </c>
      <c r="C4" s="2" t="inlineStr">
        <is>
          <t>Tarifa por fracción (30 min) en pesos</t>
        </is>
      </c>
    </row>
    <row r="5">
      <c r="A5" s="3" t="inlineStr">
        <is>
          <t>tarifa_dia</t>
        </is>
      </c>
      <c r="B5" s="3" t="n">
        <v>3500</v>
      </c>
      <c r="C5" s="3" t="inlineStr">
        <is>
          <t>Tarifa máxima por día en pesos</t>
        </is>
      </c>
    </row>
    <row r="6">
      <c r="A6" s="2" t="inlineStr">
        <is>
          <t>nombre_parking</t>
        </is>
      </c>
      <c r="B6" s="2" t="inlineStr">
        <is>
          <t>ParkControl Central</t>
        </is>
      </c>
      <c r="C6" s="2" t="inlineStr">
        <is>
          <t>Nombre del estacionamiento</t>
        </is>
      </c>
    </row>
    <row r="7">
      <c r="A7" s="3" t="inlineStr">
        <is>
          <t>direccion</t>
        </is>
      </c>
      <c r="B7" s="3" t="inlineStr">
        <is>
          <t>Av. Corrientes 1234, CABA</t>
        </is>
      </c>
      <c r="C7" s="3" t="inlineStr">
        <is>
          <t>Dirección física</t>
        </is>
      </c>
    </row>
    <row r="8">
      <c r="A8" s="2" t="inlineStr">
        <is>
          <t>telefono</t>
        </is>
      </c>
      <c r="B8" s="2" t="inlineStr">
        <is>
          <t>011-4567-8901</t>
        </is>
      </c>
      <c r="C8" s="2" t="inlineStr">
        <is>
          <t>Teléfono de contacto</t>
        </is>
      </c>
    </row>
    <row r="9">
      <c r="A9" s="3" t="inlineStr">
        <is>
          <t>horario_apertura</t>
        </is>
      </c>
      <c r="B9" s="3" t="inlineStr">
        <is>
          <t>06:00</t>
        </is>
      </c>
      <c r="C9" s="3" t="inlineStr">
        <is>
          <t>Hora de apertura</t>
        </is>
      </c>
    </row>
    <row r="10">
      <c r="A10" s="2" t="inlineStr">
        <is>
          <t>horario_cierre</t>
        </is>
      </c>
      <c r="B10" s="2" t="inlineStr">
        <is>
          <t>23:00</t>
        </is>
      </c>
      <c r="C10" s="2" t="inlineStr">
        <is>
          <t>Hora de cierre</t>
        </is>
      </c>
    </row>
    <row r="11">
      <c r="A11" s="3" t="inlineStr">
        <is>
          <t>moneda</t>
        </is>
      </c>
      <c r="B11" s="3" t="inlineStr">
        <is>
          <t>ARS</t>
        </is>
      </c>
      <c r="C11" s="3" t="inlineStr">
        <is>
          <t>Moneda de operación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0" customWidth="1" min="5" max="5"/>
    <col width="8" customWidth="1" min="6" max="6"/>
    <col width="15" customWidth="1" min="7" max="7"/>
    <col width="23" customWidth="1" min="8" max="8"/>
    <col width="17" customWidth="1" min="9" max="9"/>
  </cols>
  <sheetData>
    <row r="1">
      <c r="A1" s="1" t="inlineStr">
        <is>
          <t>patente</t>
        </is>
      </c>
      <c r="B1" s="1" t="inlineStr">
        <is>
          <t>titular</t>
        </is>
      </c>
      <c r="C1" s="1" t="inlineStr">
        <is>
          <t>tipo</t>
        </is>
      </c>
      <c r="D1" s="1" t="inlineStr">
        <is>
          <t>habilitado</t>
        </is>
      </c>
      <c r="E1" s="1" t="inlineStr">
        <is>
          <t>abonado</t>
        </is>
      </c>
      <c r="F1" s="1" t="inlineStr">
        <is>
          <t>deuda</t>
        </is>
      </c>
      <c r="G1" s="1" t="inlineStr">
        <is>
          <t>telefono</t>
        </is>
      </c>
      <c r="H1" s="1" t="inlineStr">
        <is>
          <t>email</t>
        </is>
      </c>
      <c r="I1" s="1" t="inlineStr">
        <is>
          <t>fecha_registro</t>
        </is>
      </c>
    </row>
    <row r="2">
      <c r="A2" s="2" t="inlineStr">
        <is>
          <t>AA123BB</t>
        </is>
      </c>
      <c r="B2" s="2" t="inlineStr">
        <is>
          <t>Juan Pérez</t>
        </is>
      </c>
      <c r="C2" s="2" t="inlineStr">
        <is>
          <t>Auto</t>
        </is>
      </c>
      <c r="D2" s="2" t="inlineStr">
        <is>
          <t>SI</t>
        </is>
      </c>
      <c r="E2" s="2" t="inlineStr">
        <is>
          <t>SI</t>
        </is>
      </c>
      <c r="F2" s="2" t="n">
        <v>0</v>
      </c>
      <c r="G2" s="2" t="inlineStr">
        <is>
          <t>11-2345-6789</t>
        </is>
      </c>
      <c r="H2" s="2" t="inlineStr">
        <is>
          <t>jperez@email.com</t>
        </is>
      </c>
      <c r="I2" s="2" t="inlineStr">
        <is>
          <t>2026-01-15</t>
        </is>
      </c>
    </row>
    <row r="3">
      <c r="A3" s="3" t="inlineStr">
        <is>
          <t>AC456DF</t>
        </is>
      </c>
      <c r="B3" s="3" t="inlineStr">
        <is>
          <t>María García</t>
        </is>
      </c>
      <c r="C3" s="3" t="inlineStr">
        <is>
          <t>Auto</t>
        </is>
      </c>
      <c r="D3" s="3" t="inlineStr">
        <is>
          <t>SI</t>
        </is>
      </c>
      <c r="E3" s="3" t="inlineStr">
        <is>
          <t>NO</t>
        </is>
      </c>
      <c r="F3" s="3" t="n">
        <v>3500</v>
      </c>
      <c r="G3" s="3" t="inlineStr">
        <is>
          <t>11-3456-7890</t>
        </is>
      </c>
      <c r="H3" s="3" t="inlineStr">
        <is>
          <t>mgarcia@email.com</t>
        </is>
      </c>
      <c r="I3" s="3" t="inlineStr">
        <is>
          <t>2026-02-10</t>
        </is>
      </c>
    </row>
    <row r="4">
      <c r="A4" s="2" t="inlineStr">
        <is>
          <t>AD789GH</t>
        </is>
      </c>
      <c r="B4" s="2" t="inlineStr">
        <is>
          <t>Carlos López</t>
        </is>
      </c>
      <c r="C4" s="2" t="inlineStr">
        <is>
          <t>Camioneta</t>
        </is>
      </c>
      <c r="D4" s="2" t="inlineStr">
        <is>
          <t>SI</t>
        </is>
      </c>
      <c r="E4" s="2" t="inlineStr">
        <is>
          <t>SI</t>
        </is>
      </c>
      <c r="F4" s="2" t="n">
        <v>0</v>
      </c>
      <c r="G4" s="2" t="inlineStr">
        <is>
          <t>11-4567-8901</t>
        </is>
      </c>
      <c r="H4" s="2" t="inlineStr">
        <is>
          <t>clopez@email.com</t>
        </is>
      </c>
      <c r="I4" s="2" t="inlineStr">
        <is>
          <t>2026-01-20</t>
        </is>
      </c>
    </row>
    <row r="5">
      <c r="A5" s="3" t="inlineStr">
        <is>
          <t>AE101IJ</t>
        </is>
      </c>
      <c r="B5" s="3" t="inlineStr">
        <is>
          <t>Ana Rodríguez</t>
        </is>
      </c>
      <c r="C5" s="3" t="inlineStr">
        <is>
          <t>Moto</t>
        </is>
      </c>
      <c r="D5" s="3" t="inlineStr">
        <is>
          <t>SI</t>
        </is>
      </c>
      <c r="E5" s="3" t="inlineStr">
        <is>
          <t>NO</t>
        </is>
      </c>
      <c r="F5" s="3" t="n">
        <v>0</v>
      </c>
      <c r="G5" s="3" t="inlineStr">
        <is>
          <t>11-5678-9012</t>
        </is>
      </c>
      <c r="H5" s="3" t="inlineStr">
        <is>
          <t>arodriguez@email.com</t>
        </is>
      </c>
      <c r="I5" s="3" t="inlineStr">
        <is>
          <t>2026-03-05</t>
        </is>
      </c>
    </row>
    <row r="6">
      <c r="A6" s="2" t="inlineStr">
        <is>
          <t>AF202KL</t>
        </is>
      </c>
      <c r="B6" s="2" t="inlineStr">
        <is>
          <t>Pablo Díaz</t>
        </is>
      </c>
      <c r="C6" s="2" t="inlineStr">
        <is>
          <t>Auto</t>
        </is>
      </c>
      <c r="D6" s="2" t="inlineStr">
        <is>
          <t>SI</t>
        </is>
      </c>
      <c r="E6" s="2" t="inlineStr">
        <is>
          <t>SI</t>
        </is>
      </c>
      <c r="F6" s="2" t="n">
        <v>0</v>
      </c>
      <c r="G6" s="2" t="inlineStr">
        <is>
          <t>11-6789-0123</t>
        </is>
      </c>
      <c r="H6" s="2" t="inlineStr">
        <is>
          <t>pdiaz@email.com</t>
        </is>
      </c>
      <c r="I6" s="2" t="inlineStr">
        <is>
          <t>2026-01-25</t>
        </is>
      </c>
    </row>
    <row r="7">
      <c r="A7" s="3" t="inlineStr">
        <is>
          <t>AD111EF</t>
        </is>
      </c>
      <c r="B7" s="3" t="inlineStr">
        <is>
          <t>Roberto Sánchez</t>
        </is>
      </c>
      <c r="C7" s="3" t="inlineStr">
        <is>
          <t>Auto</t>
        </is>
      </c>
      <c r="D7" s="3" t="inlineStr">
        <is>
          <t>SI</t>
        </is>
      </c>
      <c r="E7" s="3" t="inlineStr">
        <is>
          <t>NO</t>
        </is>
      </c>
      <c r="F7" s="3" t="n">
        <v>2000</v>
      </c>
      <c r="G7" s="3" t="inlineStr">
        <is>
          <t>11-7890-1234</t>
        </is>
      </c>
      <c r="H7" s="3" t="inlineStr">
        <is>
          <t>rsanchez@email.com</t>
        </is>
      </c>
      <c r="I7" s="3" t="inlineStr">
        <is>
          <t>2026-02-15</t>
        </is>
      </c>
    </row>
    <row r="8">
      <c r="A8" s="2" t="inlineStr">
        <is>
          <t>AG222HH</t>
        </is>
      </c>
      <c r="B8" s="2" t="inlineStr">
        <is>
          <t>Laura Fernández</t>
        </is>
      </c>
      <c r="C8" s="2" t="inlineStr">
        <is>
          <t>Auto</t>
        </is>
      </c>
      <c r="D8" s="2" t="inlineStr">
        <is>
          <t>SI</t>
        </is>
      </c>
      <c r="E8" s="2" t="inlineStr">
        <is>
          <t>NO</t>
        </is>
      </c>
      <c r="F8" s="2" t="n">
        <v>1500</v>
      </c>
      <c r="G8" s="2" t="inlineStr">
        <is>
          <t>11-8901-2345</t>
        </is>
      </c>
      <c r="H8" s="2" t="inlineStr">
        <is>
          <t>lfernandez@email.com</t>
        </is>
      </c>
      <c r="I8" s="2" t="inlineStr">
        <is>
          <t>2026-02-28</t>
        </is>
      </c>
    </row>
    <row r="9">
      <c r="A9" s="3" t="inlineStr">
        <is>
          <t>AI333JJ</t>
        </is>
      </c>
      <c r="B9" s="3" t="inlineStr">
        <is>
          <t>Diego Morales</t>
        </is>
      </c>
      <c r="C9" s="3" t="inlineStr">
        <is>
          <t>Auto</t>
        </is>
      </c>
      <c r="D9" s="3" t="inlineStr">
        <is>
          <t>SI</t>
        </is>
      </c>
      <c r="E9" s="3" t="inlineStr">
        <is>
          <t>NO</t>
        </is>
      </c>
      <c r="F9" s="3" t="n">
        <v>1000</v>
      </c>
      <c r="G9" s="3" t="inlineStr">
        <is>
          <t>11-9012-3456</t>
        </is>
      </c>
      <c r="H9" s="3" t="inlineStr">
        <is>
          <t>dmorales@email.com</t>
        </is>
      </c>
      <c r="I9" s="3" t="inlineStr">
        <is>
          <t>2026-03-10</t>
        </is>
      </c>
    </row>
    <row r="10">
      <c r="A10" s="2" t="inlineStr">
        <is>
          <t>AK444LL</t>
        </is>
      </c>
      <c r="B10" s="2" t="inlineStr">
        <is>
          <t>Sofía Martínez</t>
        </is>
      </c>
      <c r="C10" s="2" t="inlineStr">
        <is>
          <t>Auto</t>
        </is>
      </c>
      <c r="D10" s="2" t="inlineStr">
        <is>
          <t>NO</t>
        </is>
      </c>
      <c r="E10" s="2" t="inlineStr">
        <is>
          <t>NO</t>
        </is>
      </c>
      <c r="F10" s="2" t="n">
        <v>5000</v>
      </c>
      <c r="G10" s="2" t="inlineStr">
        <is>
          <t>11-0123-4567</t>
        </is>
      </c>
      <c r="H10" s="2" t="inlineStr">
        <is>
          <t>smartinez@email.com</t>
        </is>
      </c>
      <c r="I10" s="2" t="inlineStr">
        <is>
          <t>2026-01-30</t>
        </is>
      </c>
    </row>
    <row r="11">
      <c r="A11" s="3" t="inlineStr">
        <is>
          <t>AM555NN</t>
        </is>
      </c>
      <c r="B11" s="3" t="inlineStr">
        <is>
          <t>Lucas Romero</t>
        </is>
      </c>
      <c r="C11" s="3" t="inlineStr">
        <is>
          <t>Auto</t>
        </is>
      </c>
      <c r="D11" s="3" t="inlineStr">
        <is>
          <t>SI</t>
        </is>
      </c>
      <c r="E11" s="3" t="inlineStr">
        <is>
          <t>SI</t>
        </is>
      </c>
      <c r="F11" s="3" t="n">
        <v>0</v>
      </c>
      <c r="G11" s="3" t="inlineStr">
        <is>
          <t>11-1234-5678</t>
        </is>
      </c>
      <c r="H11" s="3" t="inlineStr">
        <is>
          <t>lromero@email.com</t>
        </is>
      </c>
      <c r="I11" s="3" t="inlineStr">
        <is>
          <t>2026-03-15</t>
        </is>
      </c>
    </row>
  </sheetData>
  <dataValidations count="2">
    <dataValidation sqref="C2:C1000" showDropDown="0" showInputMessage="0" showErrorMessage="0" allowBlank="0" error="Seleccioná un tipo válido" prompt="Tipo de vehículo" type="list">
      <formula1>"Auto,Camioneta,Moto,Bicicleta,Otro"</formula1>
    </dataValidation>
    <dataValidation sqref="D2:D1000 E2:E1000" showDropDown="0" showInputMessage="0" showErrorMessage="0" allowBlank="0" error="Solo SI o NO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8" customWidth="1" min="5" max="5"/>
    <col width="11" customWidth="1" min="6" max="6"/>
    <col width="16" customWidth="1" min="7" max="7"/>
  </cols>
  <sheetData>
    <row r="1">
      <c r="A1" s="1" t="inlineStr">
        <is>
          <t>patente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tipo</t>
        </is>
      </c>
      <c r="E1" s="1" t="inlineStr">
        <is>
          <t>monto</t>
        </is>
      </c>
      <c r="F1" s="1" t="inlineStr">
        <is>
          <t>operador</t>
        </is>
      </c>
      <c r="G1" s="1" t="inlineStr">
        <is>
          <t>observaciones</t>
        </is>
      </c>
    </row>
    <row r="2">
      <c r="A2" s="2" t="inlineStr">
        <is>
          <t>AF202KL</t>
        </is>
      </c>
      <c r="B2" s="2" t="inlineStr">
        <is>
          <t>2026-05-01</t>
        </is>
      </c>
      <c r="C2" s="2" t="inlineStr">
        <is>
          <t>07:37:26</t>
        </is>
      </c>
      <c r="D2" s="2" t="inlineStr">
        <is>
          <t>Entrada</t>
        </is>
      </c>
      <c r="E2" s="2" t="n">
        <v>0</v>
      </c>
      <c r="F2" s="2" t="inlineStr">
        <is>
          <t>Sistema</t>
        </is>
      </c>
      <c r="G2" s="2" t="inlineStr"/>
    </row>
    <row r="3">
      <c r="A3" s="3" t="inlineStr">
        <is>
          <t>AC456DF</t>
        </is>
      </c>
      <c r="B3" s="3" t="inlineStr">
        <is>
          <t>2026-05-01</t>
        </is>
      </c>
      <c r="C3" s="3" t="inlineStr">
        <is>
          <t>07:48:42</t>
        </is>
      </c>
      <c r="D3" s="3" t="inlineStr">
        <is>
          <t>Entrada</t>
        </is>
      </c>
      <c r="E3" s="3" t="n">
        <v>0</v>
      </c>
      <c r="F3" s="3" t="inlineStr">
        <is>
          <t>Sistema</t>
        </is>
      </c>
      <c r="G3" s="3" t="inlineStr"/>
    </row>
    <row r="4">
      <c r="A4" s="2" t="inlineStr">
        <is>
          <t>AI333JJ</t>
        </is>
      </c>
      <c r="B4" s="2" t="inlineStr">
        <is>
          <t>2026-05-01</t>
        </is>
      </c>
      <c r="C4" s="2" t="inlineStr">
        <is>
          <t>08:44:22</t>
        </is>
      </c>
      <c r="D4" s="2" t="inlineStr">
        <is>
          <t>Entrada</t>
        </is>
      </c>
      <c r="E4" s="2" t="n">
        <v>0</v>
      </c>
      <c r="F4" s="2" t="inlineStr">
        <is>
          <t>Sistema</t>
        </is>
      </c>
      <c r="G4" s="2" t="inlineStr"/>
    </row>
    <row r="5">
      <c r="A5" s="3" t="inlineStr">
        <is>
          <t>AI333JJ</t>
        </is>
      </c>
      <c r="B5" s="3" t="inlineStr">
        <is>
          <t>2026-05-01</t>
        </is>
      </c>
      <c r="C5" s="3" t="inlineStr">
        <is>
          <t>10:57:50</t>
        </is>
      </c>
      <c r="D5" s="3" t="inlineStr">
        <is>
          <t>Salida</t>
        </is>
      </c>
      <c r="E5" s="3" t="n">
        <v>1000</v>
      </c>
      <c r="F5" s="3" t="inlineStr">
        <is>
          <t>Sistema</t>
        </is>
      </c>
      <c r="G5" s="3" t="inlineStr"/>
    </row>
    <row r="6">
      <c r="A6" s="2" t="inlineStr">
        <is>
          <t>AM555NN</t>
        </is>
      </c>
      <c r="B6" s="2" t="inlineStr">
        <is>
          <t>2026-05-01</t>
        </is>
      </c>
      <c r="C6" s="2" t="inlineStr">
        <is>
          <t>14:29:27</t>
        </is>
      </c>
      <c r="D6" s="2" t="inlineStr">
        <is>
          <t>Entrada</t>
        </is>
      </c>
      <c r="E6" s="2" t="n">
        <v>0</v>
      </c>
      <c r="F6" s="2" t="inlineStr">
        <is>
          <t>Sistema</t>
        </is>
      </c>
      <c r="G6" s="2" t="inlineStr"/>
    </row>
    <row r="7">
      <c r="A7" s="3" t="inlineStr">
        <is>
          <t>AG222HH</t>
        </is>
      </c>
      <c r="B7" s="3" t="inlineStr">
        <is>
          <t>2026-05-01</t>
        </is>
      </c>
      <c r="C7" s="3" t="inlineStr">
        <is>
          <t>14:51:02</t>
        </is>
      </c>
      <c r="D7" s="3" t="inlineStr">
        <is>
          <t>Entrada</t>
        </is>
      </c>
      <c r="E7" s="3" t="n">
        <v>0</v>
      </c>
      <c r="F7" s="3" t="inlineStr">
        <is>
          <t>Sistema</t>
        </is>
      </c>
      <c r="G7" s="3" t="inlineStr"/>
    </row>
    <row r="8">
      <c r="A8" s="2" t="inlineStr">
        <is>
          <t>AA123BB</t>
        </is>
      </c>
      <c r="B8" s="2" t="inlineStr">
        <is>
          <t>2026-05-01</t>
        </is>
      </c>
      <c r="C8" s="2" t="inlineStr">
        <is>
          <t>15:39:27</t>
        </is>
      </c>
      <c r="D8" s="2" t="inlineStr">
        <is>
          <t>Entrada</t>
        </is>
      </c>
      <c r="E8" s="2" t="n">
        <v>0</v>
      </c>
      <c r="F8" s="2" t="inlineStr">
        <is>
          <t>Sistema</t>
        </is>
      </c>
      <c r="G8" s="2" t="inlineStr"/>
    </row>
    <row r="9">
      <c r="A9" s="3" t="inlineStr">
        <is>
          <t>AA123BB</t>
        </is>
      </c>
      <c r="B9" s="3" t="inlineStr">
        <is>
          <t>2026-05-01</t>
        </is>
      </c>
      <c r="C9" s="3" t="inlineStr">
        <is>
          <t>17:05:56</t>
        </is>
      </c>
      <c r="D9" s="3" t="inlineStr">
        <is>
          <t>Salida</t>
        </is>
      </c>
      <c r="E9" s="3" t="n">
        <v>1500</v>
      </c>
      <c r="F9" s="3" t="inlineStr">
        <is>
          <t>Sistema</t>
        </is>
      </c>
      <c r="G9" s="3" t="inlineStr"/>
    </row>
    <row r="10">
      <c r="A10" s="2" t="inlineStr">
        <is>
          <t>AG222HH</t>
        </is>
      </c>
      <c r="B10" s="2" t="inlineStr">
        <is>
          <t>2026-05-01</t>
        </is>
      </c>
      <c r="C10" s="2" t="inlineStr">
        <is>
          <t>17:30:49</t>
        </is>
      </c>
      <c r="D10" s="2" t="inlineStr">
        <is>
          <t>Salida</t>
        </is>
      </c>
      <c r="E10" s="2" t="n">
        <v>1000</v>
      </c>
      <c r="F10" s="2" t="inlineStr">
        <is>
          <t>Sistema</t>
        </is>
      </c>
      <c r="G10" s="2" t="inlineStr"/>
    </row>
    <row r="11">
      <c r="A11" s="3" t="inlineStr">
        <is>
          <t>AE101IJ</t>
        </is>
      </c>
      <c r="B11" s="3" t="inlineStr">
        <is>
          <t>2026-05-01</t>
        </is>
      </c>
      <c r="C11" s="3" t="inlineStr">
        <is>
          <t>17:40:01</t>
        </is>
      </c>
      <c r="D11" s="3" t="inlineStr">
        <is>
          <t>Entrada</t>
        </is>
      </c>
      <c r="E11" s="3" t="n">
        <v>0</v>
      </c>
      <c r="F11" s="3" t="inlineStr">
        <is>
          <t>Sistema</t>
        </is>
      </c>
      <c r="G11" s="3" t="inlineStr"/>
    </row>
    <row r="12">
      <c r="A12" s="2" t="inlineStr">
        <is>
          <t>AD789GH</t>
        </is>
      </c>
      <c r="B12" s="2" t="inlineStr">
        <is>
          <t>2026-05-01</t>
        </is>
      </c>
      <c r="C12" s="2" t="inlineStr">
        <is>
          <t>17:55:10</t>
        </is>
      </c>
      <c r="D12" s="2" t="inlineStr">
        <is>
          <t>Entrada</t>
        </is>
      </c>
      <c r="E12" s="2" t="n">
        <v>0</v>
      </c>
      <c r="F12" s="2" t="inlineStr">
        <is>
          <t>Sistema</t>
        </is>
      </c>
      <c r="G12" s="2" t="inlineStr"/>
    </row>
    <row r="13">
      <c r="A13" s="3" t="inlineStr">
        <is>
          <t>AD111EF</t>
        </is>
      </c>
      <c r="B13" s="3" t="inlineStr">
        <is>
          <t>2026-05-01</t>
        </is>
      </c>
      <c r="C13" s="3" t="inlineStr">
        <is>
          <t>18:06:57</t>
        </is>
      </c>
      <c r="D13" s="3" t="inlineStr">
        <is>
          <t>Entrada</t>
        </is>
      </c>
      <c r="E13" s="3" t="n">
        <v>0</v>
      </c>
      <c r="F13" s="3" t="inlineStr">
        <is>
          <t>Sistema</t>
        </is>
      </c>
      <c r="G13" s="3" t="inlineStr"/>
    </row>
    <row r="14">
      <c r="A14" s="2" t="inlineStr">
        <is>
          <t>AD111EF</t>
        </is>
      </c>
      <c r="B14" s="2" t="inlineStr">
        <is>
          <t>2026-05-01</t>
        </is>
      </c>
      <c r="C14" s="2" t="inlineStr">
        <is>
          <t>21:30:23</t>
        </is>
      </c>
      <c r="D14" s="2" t="inlineStr">
        <is>
          <t>Salida</t>
        </is>
      </c>
      <c r="E14" s="2" t="n">
        <v>1250</v>
      </c>
      <c r="F14" s="2" t="inlineStr">
        <is>
          <t>Sistema</t>
        </is>
      </c>
      <c r="G14" s="2" t="inlineStr"/>
    </row>
    <row r="15">
      <c r="A15" s="3" t="inlineStr">
        <is>
          <t>AM555NN</t>
        </is>
      </c>
      <c r="B15" s="3" t="inlineStr">
        <is>
          <t>2026-05-02</t>
        </is>
      </c>
      <c r="C15" s="3" t="inlineStr">
        <is>
          <t>07:07:10</t>
        </is>
      </c>
      <c r="D15" s="3" t="inlineStr">
        <is>
          <t>Entrada</t>
        </is>
      </c>
      <c r="E15" s="3" t="n">
        <v>0</v>
      </c>
      <c r="F15" s="3" t="inlineStr">
        <is>
          <t>Sistema</t>
        </is>
      </c>
      <c r="G15" s="3" t="inlineStr"/>
    </row>
    <row r="16">
      <c r="A16" s="2" t="inlineStr">
        <is>
          <t>AD789GH</t>
        </is>
      </c>
      <c r="B16" s="2" t="inlineStr">
        <is>
          <t>2026-05-02</t>
        </is>
      </c>
      <c r="C16" s="2" t="inlineStr">
        <is>
          <t>09:25:26</t>
        </is>
      </c>
      <c r="D16" s="2" t="inlineStr">
        <is>
          <t>Entrada</t>
        </is>
      </c>
      <c r="E16" s="2" t="n">
        <v>0</v>
      </c>
      <c r="F16" s="2" t="inlineStr">
        <is>
          <t>Sistema</t>
        </is>
      </c>
      <c r="G16" s="2" t="inlineStr"/>
    </row>
    <row r="17">
      <c r="A17" s="3" t="inlineStr">
        <is>
          <t>AM555NN</t>
        </is>
      </c>
      <c r="B17" s="3" t="inlineStr">
        <is>
          <t>2026-05-02</t>
        </is>
      </c>
      <c r="C17" s="3" t="inlineStr">
        <is>
          <t>10:13:01</t>
        </is>
      </c>
      <c r="D17" s="3" t="inlineStr">
        <is>
          <t>Salida</t>
        </is>
      </c>
      <c r="E17" s="3" t="n">
        <v>1500</v>
      </c>
      <c r="F17" s="3" t="inlineStr">
        <is>
          <t>Sistema</t>
        </is>
      </c>
      <c r="G17" s="3" t="inlineStr"/>
    </row>
    <row r="18">
      <c r="A18" s="2" t="inlineStr">
        <is>
          <t>AA123BB</t>
        </is>
      </c>
      <c r="B18" s="2" t="inlineStr">
        <is>
          <t>2026-05-02</t>
        </is>
      </c>
      <c r="C18" s="2" t="inlineStr">
        <is>
          <t>10:58:01</t>
        </is>
      </c>
      <c r="D18" s="2" t="inlineStr">
        <is>
          <t>Entrada</t>
        </is>
      </c>
      <c r="E18" s="2" t="n">
        <v>0</v>
      </c>
      <c r="F18" s="2" t="inlineStr">
        <is>
          <t>Sistema</t>
        </is>
      </c>
      <c r="G18" s="2" t="inlineStr"/>
    </row>
    <row r="19">
      <c r="A19" s="3" t="inlineStr">
        <is>
          <t>AG222HH</t>
        </is>
      </c>
      <c r="B19" s="3" t="inlineStr">
        <is>
          <t>2026-05-02</t>
        </is>
      </c>
      <c r="C19" s="3" t="inlineStr">
        <is>
          <t>11:32:20</t>
        </is>
      </c>
      <c r="D19" s="3" t="inlineStr">
        <is>
          <t>Entrada</t>
        </is>
      </c>
      <c r="E19" s="3" t="n">
        <v>0</v>
      </c>
      <c r="F19" s="3" t="inlineStr">
        <is>
          <t>Sistema</t>
        </is>
      </c>
      <c r="G19" s="3" t="inlineStr"/>
    </row>
    <row r="20">
      <c r="A20" s="2" t="inlineStr">
        <is>
          <t>AG222HH</t>
        </is>
      </c>
      <c r="B20" s="2" t="inlineStr">
        <is>
          <t>2026-05-02</t>
        </is>
      </c>
      <c r="C20" s="2" t="inlineStr">
        <is>
          <t>12:18:29</t>
        </is>
      </c>
      <c r="D20" s="2" t="inlineStr">
        <is>
          <t>Salida</t>
        </is>
      </c>
      <c r="E20" s="2" t="n">
        <v>750</v>
      </c>
      <c r="F20" s="2" t="inlineStr">
        <is>
          <t>Sistema</t>
        </is>
      </c>
      <c r="G20" s="2" t="inlineStr"/>
    </row>
    <row r="21">
      <c r="A21" s="3" t="inlineStr">
        <is>
          <t>AI333JJ</t>
        </is>
      </c>
      <c r="B21" s="3" t="inlineStr">
        <is>
          <t>2026-05-02</t>
        </is>
      </c>
      <c r="C21" s="3" t="inlineStr">
        <is>
          <t>12:58:49</t>
        </is>
      </c>
      <c r="D21" s="3" t="inlineStr">
        <is>
          <t>Entrada</t>
        </is>
      </c>
      <c r="E21" s="3" t="n">
        <v>0</v>
      </c>
      <c r="F21" s="3" t="inlineStr">
        <is>
          <t>Sistema</t>
        </is>
      </c>
      <c r="G21" s="3" t="inlineStr"/>
    </row>
    <row r="22">
      <c r="A22" s="2" t="inlineStr">
        <is>
          <t>AA123BB</t>
        </is>
      </c>
      <c r="B22" s="2" t="inlineStr">
        <is>
          <t>2026-05-02</t>
        </is>
      </c>
      <c r="C22" s="2" t="inlineStr">
        <is>
          <t>13:45:20</t>
        </is>
      </c>
      <c r="D22" s="2" t="inlineStr">
        <is>
          <t>Salida</t>
        </is>
      </c>
      <c r="E22" s="2" t="n">
        <v>1000</v>
      </c>
      <c r="F22" s="2" t="inlineStr">
        <is>
          <t>Sistema</t>
        </is>
      </c>
      <c r="G22" s="2" t="inlineStr"/>
    </row>
    <row r="23">
      <c r="A23" s="3" t="inlineStr">
        <is>
          <t>AC456DF</t>
        </is>
      </c>
      <c r="B23" s="3" t="inlineStr">
        <is>
          <t>2026-05-02</t>
        </is>
      </c>
      <c r="C23" s="3" t="inlineStr">
        <is>
          <t>14:08:46</t>
        </is>
      </c>
      <c r="D23" s="3" t="inlineStr">
        <is>
          <t>Entrada</t>
        </is>
      </c>
      <c r="E23" s="3" t="n">
        <v>0</v>
      </c>
      <c r="F23" s="3" t="inlineStr">
        <is>
          <t>Sistema</t>
        </is>
      </c>
      <c r="G23" s="3" t="inlineStr"/>
    </row>
    <row r="24">
      <c r="A24" s="2" t="inlineStr">
        <is>
          <t>AE101IJ</t>
        </is>
      </c>
      <c r="B24" s="2" t="inlineStr">
        <is>
          <t>2026-05-02</t>
        </is>
      </c>
      <c r="C24" s="2" t="inlineStr">
        <is>
          <t>17:40:26</t>
        </is>
      </c>
      <c r="D24" s="2" t="inlineStr">
        <is>
          <t>Entrada</t>
        </is>
      </c>
      <c r="E24" s="2" t="n">
        <v>0</v>
      </c>
      <c r="F24" s="2" t="inlineStr">
        <is>
          <t>Sistema</t>
        </is>
      </c>
      <c r="G24" s="2" t="inlineStr"/>
    </row>
    <row r="25">
      <c r="A25" s="3" t="inlineStr">
        <is>
          <t>AD111EF</t>
        </is>
      </c>
      <c r="B25" s="3" t="inlineStr">
        <is>
          <t>2026-05-02</t>
        </is>
      </c>
      <c r="C25" s="3" t="inlineStr">
        <is>
          <t>18:19:45</t>
        </is>
      </c>
      <c r="D25" s="3" t="inlineStr">
        <is>
          <t>Entrada</t>
        </is>
      </c>
      <c r="E25" s="3" t="n">
        <v>0</v>
      </c>
      <c r="F25" s="3" t="inlineStr">
        <is>
          <t>Sistema</t>
        </is>
      </c>
      <c r="G25" s="3" t="inlineStr"/>
    </row>
    <row r="26">
      <c r="A26" s="2" t="inlineStr">
        <is>
          <t>AF202KL</t>
        </is>
      </c>
      <c r="B26" s="2" t="inlineStr">
        <is>
          <t>2026-05-02</t>
        </is>
      </c>
      <c r="C26" s="2" t="inlineStr">
        <is>
          <t>18:22:55</t>
        </is>
      </c>
      <c r="D26" s="2" t="inlineStr">
        <is>
          <t>Entrada</t>
        </is>
      </c>
      <c r="E26" s="2" t="n">
        <v>0</v>
      </c>
      <c r="F26" s="2" t="inlineStr">
        <is>
          <t>Sistema</t>
        </is>
      </c>
      <c r="G26" s="2" t="inlineStr"/>
    </row>
    <row r="27">
      <c r="A27" s="3" t="inlineStr">
        <is>
          <t>AC456DF</t>
        </is>
      </c>
      <c r="B27" s="3" t="inlineStr">
        <is>
          <t>2026-05-02</t>
        </is>
      </c>
      <c r="C27" s="3" t="inlineStr">
        <is>
          <t>18:47:46</t>
        </is>
      </c>
      <c r="D27" s="3" t="inlineStr">
        <is>
          <t>Salida</t>
        </is>
      </c>
      <c r="E27" s="3" t="n">
        <v>500</v>
      </c>
      <c r="F27" s="3" t="inlineStr">
        <is>
          <t>Sistema</t>
        </is>
      </c>
      <c r="G27" s="3" t="inlineStr"/>
    </row>
    <row r="28">
      <c r="A28" s="2" t="inlineStr">
        <is>
          <t>AD111EF</t>
        </is>
      </c>
      <c r="B28" s="2" t="inlineStr">
        <is>
          <t>2026-05-02</t>
        </is>
      </c>
      <c r="C28" s="2" t="inlineStr">
        <is>
          <t>20:31:54</t>
        </is>
      </c>
      <c r="D28" s="2" t="inlineStr">
        <is>
          <t>Salida</t>
        </is>
      </c>
      <c r="E28" s="2" t="n">
        <v>1250</v>
      </c>
      <c r="F28" s="2" t="inlineStr">
        <is>
          <t>Sistema</t>
        </is>
      </c>
      <c r="G28" s="2" t="inlineStr"/>
    </row>
    <row r="29">
      <c r="A29" s="3" t="inlineStr">
        <is>
          <t>AE101IJ</t>
        </is>
      </c>
      <c r="B29" s="3" t="inlineStr">
        <is>
          <t>2026-05-02</t>
        </is>
      </c>
      <c r="C29" s="3" t="inlineStr">
        <is>
          <t>21:52:27</t>
        </is>
      </c>
      <c r="D29" s="3" t="inlineStr">
        <is>
          <t>Salida</t>
        </is>
      </c>
      <c r="E29" s="3" t="n">
        <v>750</v>
      </c>
      <c r="F29" s="3" t="inlineStr">
        <is>
          <t>Sistema</t>
        </is>
      </c>
      <c r="G29" s="3" t="inlineStr"/>
    </row>
    <row r="30">
      <c r="A30" s="2" t="inlineStr">
        <is>
          <t>AG222HH</t>
        </is>
      </c>
      <c r="B30" s="2" t="inlineStr">
        <is>
          <t>2026-05-03</t>
        </is>
      </c>
      <c r="C30" s="2" t="inlineStr">
        <is>
          <t>08:17:15</t>
        </is>
      </c>
      <c r="D30" s="2" t="inlineStr">
        <is>
          <t>Entrada</t>
        </is>
      </c>
      <c r="E30" s="2" t="n">
        <v>0</v>
      </c>
      <c r="F30" s="2" t="inlineStr">
        <is>
          <t>Sistema</t>
        </is>
      </c>
      <c r="G30" s="2" t="inlineStr"/>
    </row>
    <row r="31">
      <c r="A31" s="3" t="inlineStr">
        <is>
          <t>AC456DF</t>
        </is>
      </c>
      <c r="B31" s="3" t="inlineStr">
        <is>
          <t>2026-05-03</t>
        </is>
      </c>
      <c r="C31" s="3" t="inlineStr">
        <is>
          <t>09:44:29</t>
        </is>
      </c>
      <c r="D31" s="3" t="inlineStr">
        <is>
          <t>Entrada</t>
        </is>
      </c>
      <c r="E31" s="3" t="n">
        <v>0</v>
      </c>
      <c r="F31" s="3" t="inlineStr">
        <is>
          <t>Sistema</t>
        </is>
      </c>
      <c r="G31" s="3" t="inlineStr"/>
    </row>
    <row r="32">
      <c r="A32" s="2" t="inlineStr">
        <is>
          <t>AC456DF</t>
        </is>
      </c>
      <c r="B32" s="2" t="inlineStr">
        <is>
          <t>2026-05-03</t>
        </is>
      </c>
      <c r="C32" s="2" t="inlineStr">
        <is>
          <t>10:58:18</t>
        </is>
      </c>
      <c r="D32" s="2" t="inlineStr">
        <is>
          <t>Salida</t>
        </is>
      </c>
      <c r="E32" s="2" t="n">
        <v>1000</v>
      </c>
      <c r="F32" s="2" t="inlineStr">
        <is>
          <t>Sistema</t>
        </is>
      </c>
      <c r="G32" s="2" t="inlineStr"/>
    </row>
    <row r="33">
      <c r="A33" s="3" t="inlineStr">
        <is>
          <t>AE101IJ</t>
        </is>
      </c>
      <c r="B33" s="3" t="inlineStr">
        <is>
          <t>2026-05-03</t>
        </is>
      </c>
      <c r="C33" s="3" t="inlineStr">
        <is>
          <t>11:17:03</t>
        </is>
      </c>
      <c r="D33" s="3" t="inlineStr">
        <is>
          <t>Entrada</t>
        </is>
      </c>
      <c r="E33" s="3" t="n">
        <v>0</v>
      </c>
      <c r="F33" s="3" t="inlineStr">
        <is>
          <t>Sistema</t>
        </is>
      </c>
      <c r="G33" s="3" t="inlineStr"/>
    </row>
    <row r="34">
      <c r="A34" s="2" t="inlineStr">
        <is>
          <t>AD789GH</t>
        </is>
      </c>
      <c r="B34" s="2" t="inlineStr">
        <is>
          <t>2026-05-03</t>
        </is>
      </c>
      <c r="C34" s="2" t="inlineStr">
        <is>
          <t>11:46:49</t>
        </is>
      </c>
      <c r="D34" s="2" t="inlineStr">
        <is>
          <t>Entrada</t>
        </is>
      </c>
      <c r="E34" s="2" t="n">
        <v>0</v>
      </c>
      <c r="F34" s="2" t="inlineStr">
        <is>
          <t>Sistema</t>
        </is>
      </c>
      <c r="G34" s="2" t="inlineStr"/>
    </row>
    <row r="35">
      <c r="A35" s="3" t="inlineStr">
        <is>
          <t>AE101IJ</t>
        </is>
      </c>
      <c r="B35" s="3" t="inlineStr">
        <is>
          <t>2026-05-03</t>
        </is>
      </c>
      <c r="C35" s="3" t="inlineStr">
        <is>
          <t>12:28:45</t>
        </is>
      </c>
      <c r="D35" s="3" t="inlineStr">
        <is>
          <t>Salida</t>
        </is>
      </c>
      <c r="E35" s="3" t="n">
        <v>750</v>
      </c>
      <c r="F35" s="3" t="inlineStr">
        <is>
          <t>Sistema</t>
        </is>
      </c>
      <c r="G35" s="3" t="inlineStr"/>
    </row>
    <row r="36">
      <c r="A36" s="2" t="inlineStr">
        <is>
          <t>AG222HH</t>
        </is>
      </c>
      <c r="B36" s="2" t="inlineStr">
        <is>
          <t>2026-05-03</t>
        </is>
      </c>
      <c r="C36" s="2" t="inlineStr">
        <is>
          <t>12:52:42</t>
        </is>
      </c>
      <c r="D36" s="2" t="inlineStr">
        <is>
          <t>Salida</t>
        </is>
      </c>
      <c r="E36" s="2" t="n">
        <v>2000</v>
      </c>
      <c r="F36" s="2" t="inlineStr">
        <is>
          <t>Sistema</t>
        </is>
      </c>
      <c r="G36" s="2" t="inlineStr"/>
    </row>
    <row r="37">
      <c r="A37" s="3" t="inlineStr">
        <is>
          <t>AD111EF</t>
        </is>
      </c>
      <c r="B37" s="3" t="inlineStr">
        <is>
          <t>2026-05-03</t>
        </is>
      </c>
      <c r="C37" s="3" t="inlineStr">
        <is>
          <t>14:14:03</t>
        </is>
      </c>
      <c r="D37" s="3" t="inlineStr">
        <is>
          <t>Entrada</t>
        </is>
      </c>
      <c r="E37" s="3" t="n">
        <v>0</v>
      </c>
      <c r="F37" s="3" t="inlineStr">
        <is>
          <t>Sistema</t>
        </is>
      </c>
      <c r="G37" s="3" t="inlineStr"/>
    </row>
    <row r="38">
      <c r="A38" s="2" t="inlineStr">
        <is>
          <t>AI333JJ</t>
        </is>
      </c>
      <c r="B38" s="2" t="inlineStr">
        <is>
          <t>2026-05-03</t>
        </is>
      </c>
      <c r="C38" s="2" t="inlineStr">
        <is>
          <t>15:42:29</t>
        </is>
      </c>
      <c r="D38" s="2" t="inlineStr">
        <is>
          <t>Entrada</t>
        </is>
      </c>
      <c r="E38" s="2" t="n">
        <v>0</v>
      </c>
      <c r="F38" s="2" t="inlineStr">
        <is>
          <t>Sistema</t>
        </is>
      </c>
      <c r="G38" s="2" t="inlineStr"/>
    </row>
    <row r="39">
      <c r="A39" s="3" t="inlineStr">
        <is>
          <t>AM555NN</t>
        </is>
      </c>
      <c r="B39" s="3" t="inlineStr">
        <is>
          <t>2026-05-03</t>
        </is>
      </c>
      <c r="C39" s="3" t="inlineStr">
        <is>
          <t>15:42:43</t>
        </is>
      </c>
      <c r="D39" s="3" t="inlineStr">
        <is>
          <t>Entrada</t>
        </is>
      </c>
      <c r="E39" s="3" t="n">
        <v>0</v>
      </c>
      <c r="F39" s="3" t="inlineStr">
        <is>
          <t>Sistema</t>
        </is>
      </c>
      <c r="G39" s="3" t="inlineStr"/>
    </row>
    <row r="40">
      <c r="A40" s="2" t="inlineStr">
        <is>
          <t>AA123BB</t>
        </is>
      </c>
      <c r="B40" s="2" t="inlineStr">
        <is>
          <t>2026-05-03</t>
        </is>
      </c>
      <c r="C40" s="2" t="inlineStr">
        <is>
          <t>16:47:25</t>
        </is>
      </c>
      <c r="D40" s="2" t="inlineStr">
        <is>
          <t>Entrada</t>
        </is>
      </c>
      <c r="E40" s="2" t="n">
        <v>0</v>
      </c>
      <c r="F40" s="2" t="inlineStr">
        <is>
          <t>Sistema</t>
        </is>
      </c>
      <c r="G40" s="2" t="inlineStr"/>
    </row>
    <row r="41">
      <c r="A41" s="3" t="inlineStr">
        <is>
          <t>AD111EF</t>
        </is>
      </c>
      <c r="B41" s="3" t="inlineStr">
        <is>
          <t>2026-05-03</t>
        </is>
      </c>
      <c r="C41" s="3" t="inlineStr">
        <is>
          <t>17:58:29</t>
        </is>
      </c>
      <c r="D41" s="3" t="inlineStr">
        <is>
          <t>Salida</t>
        </is>
      </c>
      <c r="E41" s="3" t="n">
        <v>2000</v>
      </c>
      <c r="F41" s="3" t="inlineStr">
        <is>
          <t>Sistema</t>
        </is>
      </c>
      <c r="G41" s="3" t="inlineStr"/>
    </row>
    <row r="42">
      <c r="A42" s="2" t="inlineStr">
        <is>
          <t>AF202KL</t>
        </is>
      </c>
      <c r="B42" s="2" t="inlineStr">
        <is>
          <t>2026-05-03</t>
        </is>
      </c>
      <c r="C42" s="2" t="inlineStr">
        <is>
          <t>18:51:45</t>
        </is>
      </c>
      <c r="D42" s="2" t="inlineStr">
        <is>
          <t>Entrada</t>
        </is>
      </c>
      <c r="E42" s="2" t="n">
        <v>0</v>
      </c>
      <c r="F42" s="2" t="inlineStr">
        <is>
          <t>Sistema</t>
        </is>
      </c>
      <c r="G42" s="2" t="inlineStr"/>
    </row>
    <row r="43">
      <c r="A43" s="3" t="inlineStr">
        <is>
          <t>AF202KL</t>
        </is>
      </c>
      <c r="B43" s="3" t="inlineStr">
        <is>
          <t>2026-05-03</t>
        </is>
      </c>
      <c r="C43" s="3" t="inlineStr">
        <is>
          <t>19:57:37</t>
        </is>
      </c>
      <c r="D43" s="3" t="inlineStr">
        <is>
          <t>Salida</t>
        </is>
      </c>
      <c r="E43" s="3" t="n">
        <v>1500</v>
      </c>
      <c r="F43" s="3" t="inlineStr">
        <is>
          <t>Sistema</t>
        </is>
      </c>
      <c r="G43" s="3" t="inlineStr"/>
    </row>
    <row r="44">
      <c r="A44" s="2" t="inlineStr">
        <is>
          <t>AI333JJ</t>
        </is>
      </c>
      <c r="B44" s="2" t="inlineStr">
        <is>
          <t>2026-05-03</t>
        </is>
      </c>
      <c r="C44" s="2" t="inlineStr">
        <is>
          <t>20:22:46</t>
        </is>
      </c>
      <c r="D44" s="2" t="inlineStr">
        <is>
          <t>Salida</t>
        </is>
      </c>
      <c r="E44" s="2" t="n">
        <v>500</v>
      </c>
      <c r="F44" s="2" t="inlineStr">
        <is>
          <t>Sistema</t>
        </is>
      </c>
      <c r="G44" s="2" t="inlineStr"/>
    </row>
    <row r="45">
      <c r="A45" s="3" t="inlineStr">
        <is>
          <t>AM555NN</t>
        </is>
      </c>
      <c r="B45" s="3" t="inlineStr">
        <is>
          <t>2026-05-03</t>
        </is>
      </c>
      <c r="C45" s="3" t="inlineStr">
        <is>
          <t>20:24:23</t>
        </is>
      </c>
      <c r="D45" s="3" t="inlineStr">
        <is>
          <t>Salida</t>
        </is>
      </c>
      <c r="E45" s="3" t="n">
        <v>500</v>
      </c>
      <c r="F45" s="3" t="inlineStr">
        <is>
          <t>Sistema</t>
        </is>
      </c>
      <c r="G45" s="3" t="inlineStr"/>
    </row>
    <row r="46">
      <c r="A46" s="2" t="inlineStr">
        <is>
          <t>AA123BB</t>
        </is>
      </c>
      <c r="B46" s="2" t="inlineStr">
        <is>
          <t>2026-05-03</t>
        </is>
      </c>
      <c r="C46" s="2" t="inlineStr">
        <is>
          <t>21:34:11</t>
        </is>
      </c>
      <c r="D46" s="2" t="inlineStr">
        <is>
          <t>Salida</t>
        </is>
      </c>
      <c r="E46" s="2" t="n">
        <v>1250</v>
      </c>
      <c r="F46" s="2" t="inlineStr">
        <is>
          <t>Sistema</t>
        </is>
      </c>
      <c r="G46" s="2" t="inlineStr"/>
    </row>
    <row r="47">
      <c r="A47" s="3" t="inlineStr">
        <is>
          <t>AE101IJ</t>
        </is>
      </c>
      <c r="B47" s="3" t="inlineStr">
        <is>
          <t>2026-05-04</t>
        </is>
      </c>
      <c r="C47" s="3" t="inlineStr">
        <is>
          <t>07:36:24</t>
        </is>
      </c>
      <c r="D47" s="3" t="inlineStr">
        <is>
          <t>Entrada</t>
        </is>
      </c>
      <c r="E47" s="3" t="n">
        <v>0</v>
      </c>
      <c r="F47" s="3" t="inlineStr">
        <is>
          <t>Sistema</t>
        </is>
      </c>
      <c r="G47" s="3" t="inlineStr"/>
    </row>
    <row r="48">
      <c r="A48" s="2" t="inlineStr">
        <is>
          <t>AM555NN</t>
        </is>
      </c>
      <c r="B48" s="2" t="inlineStr">
        <is>
          <t>2026-05-04</t>
        </is>
      </c>
      <c r="C48" s="2" t="inlineStr">
        <is>
          <t>09:55:19</t>
        </is>
      </c>
      <c r="D48" s="2" t="inlineStr">
        <is>
          <t>Entrada</t>
        </is>
      </c>
      <c r="E48" s="2" t="n">
        <v>0</v>
      </c>
      <c r="F48" s="2" t="inlineStr">
        <is>
          <t>Sistema</t>
        </is>
      </c>
      <c r="G48" s="2" t="inlineStr"/>
    </row>
    <row r="49">
      <c r="A49" s="3" t="inlineStr">
        <is>
          <t>AA123BB</t>
        </is>
      </c>
      <c r="B49" s="3" t="inlineStr">
        <is>
          <t>2026-05-04</t>
        </is>
      </c>
      <c r="C49" s="3" t="inlineStr">
        <is>
          <t>10:12:08</t>
        </is>
      </c>
      <c r="D49" s="3" t="inlineStr">
        <is>
          <t>Entrada</t>
        </is>
      </c>
      <c r="E49" s="3" t="n">
        <v>0</v>
      </c>
      <c r="F49" s="3" t="inlineStr">
        <is>
          <t>Sistema</t>
        </is>
      </c>
      <c r="G49" s="3" t="inlineStr"/>
    </row>
    <row r="50">
      <c r="A50" s="2" t="inlineStr">
        <is>
          <t>AA123BB</t>
        </is>
      </c>
      <c r="B50" s="2" t="inlineStr">
        <is>
          <t>2026-05-04</t>
        </is>
      </c>
      <c r="C50" s="2" t="inlineStr">
        <is>
          <t>13:50:17</t>
        </is>
      </c>
      <c r="D50" s="2" t="inlineStr">
        <is>
          <t>Salida</t>
        </is>
      </c>
      <c r="E50" s="2" t="n">
        <v>1500</v>
      </c>
      <c r="F50" s="2" t="inlineStr">
        <is>
          <t>Sistema</t>
        </is>
      </c>
      <c r="G50" s="2" t="inlineStr"/>
    </row>
    <row r="51">
      <c r="A51" s="3" t="inlineStr">
        <is>
          <t>AM555NN</t>
        </is>
      </c>
      <c r="B51" s="3" t="inlineStr">
        <is>
          <t>2026-05-04</t>
        </is>
      </c>
      <c r="C51" s="3" t="inlineStr">
        <is>
          <t>14:17:42</t>
        </is>
      </c>
      <c r="D51" s="3" t="inlineStr">
        <is>
          <t>Salida</t>
        </is>
      </c>
      <c r="E51" s="3" t="n">
        <v>1000</v>
      </c>
      <c r="F51" s="3" t="inlineStr">
        <is>
          <t>Sistema</t>
        </is>
      </c>
      <c r="G51" s="3" t="inlineStr"/>
    </row>
    <row r="52">
      <c r="A52" s="2" t="inlineStr">
        <is>
          <t>AD111EF</t>
        </is>
      </c>
      <c r="B52" s="2" t="inlineStr">
        <is>
          <t>2026-05-04</t>
        </is>
      </c>
      <c r="C52" s="2" t="inlineStr">
        <is>
          <t>14:21:42</t>
        </is>
      </c>
      <c r="D52" s="2" t="inlineStr">
        <is>
          <t>Entrada</t>
        </is>
      </c>
      <c r="E52" s="2" t="n">
        <v>0</v>
      </c>
      <c r="F52" s="2" t="inlineStr">
        <is>
          <t>Sistema</t>
        </is>
      </c>
      <c r="G52" s="2" t="inlineStr"/>
    </row>
    <row r="53">
      <c r="A53" s="3" t="inlineStr">
        <is>
          <t>AD789GH</t>
        </is>
      </c>
      <c r="B53" s="3" t="inlineStr">
        <is>
          <t>2026-05-04</t>
        </is>
      </c>
      <c r="C53" s="3" t="inlineStr">
        <is>
          <t>14:28:48</t>
        </is>
      </c>
      <c r="D53" s="3" t="inlineStr">
        <is>
          <t>Entrada</t>
        </is>
      </c>
      <c r="E53" s="3" t="n">
        <v>0</v>
      </c>
      <c r="F53" s="3" t="inlineStr">
        <is>
          <t>Sistema</t>
        </is>
      </c>
      <c r="G53" s="3" t="inlineStr"/>
    </row>
    <row r="54">
      <c r="A54" s="2" t="inlineStr">
        <is>
          <t>AI333JJ</t>
        </is>
      </c>
      <c r="B54" s="2" t="inlineStr">
        <is>
          <t>2026-05-04</t>
        </is>
      </c>
      <c r="C54" s="2" t="inlineStr">
        <is>
          <t>14:50:16</t>
        </is>
      </c>
      <c r="D54" s="2" t="inlineStr">
        <is>
          <t>Entrada</t>
        </is>
      </c>
      <c r="E54" s="2" t="n">
        <v>0</v>
      </c>
      <c r="F54" s="2" t="inlineStr">
        <is>
          <t>Sistema</t>
        </is>
      </c>
      <c r="G54" s="2" t="inlineStr"/>
    </row>
    <row r="55">
      <c r="A55" s="3" t="inlineStr">
        <is>
          <t>AC456DF</t>
        </is>
      </c>
      <c r="B55" s="3" t="inlineStr">
        <is>
          <t>2026-05-04</t>
        </is>
      </c>
      <c r="C55" s="3" t="inlineStr">
        <is>
          <t>15:37:14</t>
        </is>
      </c>
      <c r="D55" s="3" t="inlineStr">
        <is>
          <t>Entrada</t>
        </is>
      </c>
      <c r="E55" s="3" t="n">
        <v>0</v>
      </c>
      <c r="F55" s="3" t="inlineStr">
        <is>
          <t>Sistema</t>
        </is>
      </c>
      <c r="G55" s="3" t="inlineStr"/>
    </row>
    <row r="56">
      <c r="A56" s="2" t="inlineStr">
        <is>
          <t>AI333JJ</t>
        </is>
      </c>
      <c r="B56" s="2" t="inlineStr">
        <is>
          <t>2026-05-04</t>
        </is>
      </c>
      <c r="C56" s="2" t="inlineStr">
        <is>
          <t>15:53:10</t>
        </is>
      </c>
      <c r="D56" s="2" t="inlineStr">
        <is>
          <t>Salida</t>
        </is>
      </c>
      <c r="E56" s="2" t="n">
        <v>1000</v>
      </c>
      <c r="F56" s="2" t="inlineStr">
        <is>
          <t>Sistema</t>
        </is>
      </c>
      <c r="G56" s="2" t="inlineStr"/>
    </row>
    <row r="57">
      <c r="A57" s="3" t="inlineStr">
        <is>
          <t>AF202KL</t>
        </is>
      </c>
      <c r="B57" s="3" t="inlineStr">
        <is>
          <t>2026-05-04</t>
        </is>
      </c>
      <c r="C57" s="3" t="inlineStr">
        <is>
          <t>17:26:30</t>
        </is>
      </c>
      <c r="D57" s="3" t="inlineStr">
        <is>
          <t>Entrada</t>
        </is>
      </c>
      <c r="E57" s="3" t="n">
        <v>0</v>
      </c>
      <c r="F57" s="3" t="inlineStr">
        <is>
          <t>Sistema</t>
        </is>
      </c>
      <c r="G57" s="3" t="inlineStr"/>
    </row>
    <row r="58">
      <c r="A58" s="2" t="inlineStr">
        <is>
          <t>AG222HH</t>
        </is>
      </c>
      <c r="B58" s="2" t="inlineStr">
        <is>
          <t>2026-05-04</t>
        </is>
      </c>
      <c r="C58" s="2" t="inlineStr">
        <is>
          <t>17:39:24</t>
        </is>
      </c>
      <c r="D58" s="2" t="inlineStr">
        <is>
          <t>Entrada</t>
        </is>
      </c>
      <c r="E58" s="2" t="n">
        <v>0</v>
      </c>
      <c r="F58" s="2" t="inlineStr">
        <is>
          <t>Sistema</t>
        </is>
      </c>
      <c r="G58" s="2" t="inlineStr"/>
    </row>
    <row r="59">
      <c r="A59" s="3" t="inlineStr">
        <is>
          <t>AG222HH</t>
        </is>
      </c>
      <c r="B59" s="3" t="inlineStr">
        <is>
          <t>2026-05-04</t>
        </is>
      </c>
      <c r="C59" s="3" t="inlineStr">
        <is>
          <t>22:32:55</t>
        </is>
      </c>
      <c r="D59" s="3" t="inlineStr">
        <is>
          <t>Salida</t>
        </is>
      </c>
      <c r="E59" s="3" t="n">
        <v>2000</v>
      </c>
      <c r="F59" s="3" t="inlineStr">
        <is>
          <t>Sistema</t>
        </is>
      </c>
      <c r="G59" s="3" t="inlineStr"/>
    </row>
    <row r="60">
      <c r="A60" s="2" t="inlineStr">
        <is>
          <t>AF202KL</t>
        </is>
      </c>
      <c r="B60" s="2" t="inlineStr">
        <is>
          <t>2026-05-05</t>
        </is>
      </c>
      <c r="C60" s="2" t="inlineStr">
        <is>
          <t>07:12:23</t>
        </is>
      </c>
      <c r="D60" s="2" t="inlineStr">
        <is>
          <t>Entrada</t>
        </is>
      </c>
      <c r="E60" s="2" t="n">
        <v>0</v>
      </c>
      <c r="F60" s="2" t="inlineStr">
        <is>
          <t>Sistema</t>
        </is>
      </c>
      <c r="G60" s="2" t="inlineStr"/>
    </row>
    <row r="61">
      <c r="A61" s="3" t="inlineStr">
        <is>
          <t>AM555NN</t>
        </is>
      </c>
      <c r="B61" s="3" t="inlineStr">
        <is>
          <t>2026-05-05</t>
        </is>
      </c>
      <c r="C61" s="3" t="inlineStr">
        <is>
          <t>08:55:41</t>
        </is>
      </c>
      <c r="D61" s="3" t="inlineStr">
        <is>
          <t>Entrada</t>
        </is>
      </c>
      <c r="E61" s="3" t="n">
        <v>0</v>
      </c>
      <c r="F61" s="3" t="inlineStr">
        <is>
          <t>Sistema</t>
        </is>
      </c>
      <c r="G61" s="3" t="inlineStr"/>
    </row>
    <row r="62">
      <c r="A62" s="2" t="inlineStr">
        <is>
          <t>AA123BB</t>
        </is>
      </c>
      <c r="B62" s="2" t="inlineStr">
        <is>
          <t>2026-05-05</t>
        </is>
      </c>
      <c r="C62" s="2" t="inlineStr">
        <is>
          <t>10:32:28</t>
        </is>
      </c>
      <c r="D62" s="2" t="inlineStr">
        <is>
          <t>Entrada</t>
        </is>
      </c>
      <c r="E62" s="2" t="n">
        <v>0</v>
      </c>
      <c r="F62" s="2" t="inlineStr">
        <is>
          <t>Sistema</t>
        </is>
      </c>
      <c r="G62" s="2" t="inlineStr"/>
    </row>
    <row r="63">
      <c r="A63" s="3" t="inlineStr">
        <is>
          <t>AD111EF</t>
        </is>
      </c>
      <c r="B63" s="3" t="inlineStr">
        <is>
          <t>2026-05-05</t>
        </is>
      </c>
      <c r="C63" s="3" t="inlineStr">
        <is>
          <t>13:07:57</t>
        </is>
      </c>
      <c r="D63" s="3" t="inlineStr">
        <is>
          <t>Entrada</t>
        </is>
      </c>
      <c r="E63" s="3" t="n">
        <v>0</v>
      </c>
      <c r="F63" s="3" t="inlineStr">
        <is>
          <t>Sistema</t>
        </is>
      </c>
      <c r="G63" s="3" t="inlineStr"/>
    </row>
    <row r="64">
      <c r="A64" s="2" t="inlineStr">
        <is>
          <t>AD789GH</t>
        </is>
      </c>
      <c r="B64" s="2" t="inlineStr">
        <is>
          <t>2026-05-05</t>
        </is>
      </c>
      <c r="C64" s="2" t="inlineStr">
        <is>
          <t>13:13:38</t>
        </is>
      </c>
      <c r="D64" s="2" t="inlineStr">
        <is>
          <t>Entrada</t>
        </is>
      </c>
      <c r="E64" s="2" t="n">
        <v>0</v>
      </c>
      <c r="F64" s="2" t="inlineStr">
        <is>
          <t>Sistema</t>
        </is>
      </c>
      <c r="G64" s="2" t="inlineStr"/>
    </row>
    <row r="65">
      <c r="A65" s="3" t="inlineStr">
        <is>
          <t>AI333JJ</t>
        </is>
      </c>
      <c r="B65" s="3" t="inlineStr">
        <is>
          <t>2026-05-05</t>
        </is>
      </c>
      <c r="C65" s="3" t="inlineStr">
        <is>
          <t>13:35:04</t>
        </is>
      </c>
      <c r="D65" s="3" t="inlineStr">
        <is>
          <t>Entrada</t>
        </is>
      </c>
      <c r="E65" s="3" t="n">
        <v>0</v>
      </c>
      <c r="F65" s="3" t="inlineStr">
        <is>
          <t>Sistema</t>
        </is>
      </c>
      <c r="G65" s="3" t="inlineStr"/>
    </row>
    <row r="66">
      <c r="A66" s="2" t="inlineStr">
        <is>
          <t>AE101IJ</t>
        </is>
      </c>
      <c r="B66" s="2" t="inlineStr">
        <is>
          <t>2026-05-05</t>
        </is>
      </c>
      <c r="C66" s="2" t="inlineStr">
        <is>
          <t>14:20:29</t>
        </is>
      </c>
      <c r="D66" s="2" t="inlineStr">
        <is>
          <t>Entrada</t>
        </is>
      </c>
      <c r="E66" s="2" t="n">
        <v>0</v>
      </c>
      <c r="F66" s="2" t="inlineStr">
        <is>
          <t>Sistema</t>
        </is>
      </c>
      <c r="G66" s="2" t="inlineStr"/>
    </row>
    <row r="67">
      <c r="A67" s="3" t="inlineStr">
        <is>
          <t>AD111EF</t>
        </is>
      </c>
      <c r="B67" s="3" t="inlineStr">
        <is>
          <t>2026-05-05</t>
        </is>
      </c>
      <c r="C67" s="3" t="inlineStr">
        <is>
          <t>16:08:34</t>
        </is>
      </c>
      <c r="D67" s="3" t="inlineStr">
        <is>
          <t>Salida</t>
        </is>
      </c>
      <c r="E67" s="3" t="n">
        <v>2000</v>
      </c>
      <c r="F67" s="3" t="inlineStr">
        <is>
          <t>Sistema</t>
        </is>
      </c>
      <c r="G67" s="3" t="inlineStr"/>
    </row>
    <row r="68">
      <c r="A68" s="2" t="inlineStr">
        <is>
          <t>AI333JJ</t>
        </is>
      </c>
      <c r="B68" s="2" t="inlineStr">
        <is>
          <t>2026-05-05</t>
        </is>
      </c>
      <c r="C68" s="2" t="inlineStr">
        <is>
          <t>16:10:08</t>
        </is>
      </c>
      <c r="D68" s="2" t="inlineStr">
        <is>
          <t>Salida</t>
        </is>
      </c>
      <c r="E68" s="2" t="n">
        <v>1000</v>
      </c>
      <c r="F68" s="2" t="inlineStr">
        <is>
          <t>Sistema</t>
        </is>
      </c>
      <c r="G68" s="2" t="inlineStr"/>
    </row>
    <row r="69">
      <c r="A69" s="3" t="inlineStr">
        <is>
          <t>AE101IJ</t>
        </is>
      </c>
      <c r="B69" s="3" t="inlineStr">
        <is>
          <t>2026-05-05</t>
        </is>
      </c>
      <c r="C69" s="3" t="inlineStr">
        <is>
          <t>16:29:47</t>
        </is>
      </c>
      <c r="D69" s="3" t="inlineStr">
        <is>
          <t>Salida</t>
        </is>
      </c>
      <c r="E69" s="3" t="n">
        <v>500</v>
      </c>
      <c r="F69" s="3" t="inlineStr">
        <is>
          <t>Sistema</t>
        </is>
      </c>
      <c r="G69" s="3" t="inlineStr"/>
    </row>
    <row r="70">
      <c r="A70" s="2" t="inlineStr">
        <is>
          <t>AD789GH</t>
        </is>
      </c>
      <c r="B70" s="2" t="inlineStr">
        <is>
          <t>2026-05-05</t>
        </is>
      </c>
      <c r="C70" s="2" t="inlineStr">
        <is>
          <t>17:02:34</t>
        </is>
      </c>
      <c r="D70" s="2" t="inlineStr">
        <is>
          <t>Salida</t>
        </is>
      </c>
      <c r="E70" s="2" t="n">
        <v>1000</v>
      </c>
      <c r="F70" s="2" t="inlineStr">
        <is>
          <t>Sistema</t>
        </is>
      </c>
      <c r="G70" s="2" t="inlineStr"/>
    </row>
    <row r="71">
      <c r="A71" s="3" t="inlineStr">
        <is>
          <t>AG222HH</t>
        </is>
      </c>
      <c r="B71" s="3" t="inlineStr">
        <is>
          <t>2026-05-05</t>
        </is>
      </c>
      <c r="C71" s="3" t="inlineStr">
        <is>
          <t>18:59:31</t>
        </is>
      </c>
      <c r="D71" s="3" t="inlineStr">
        <is>
          <t>Entrada</t>
        </is>
      </c>
      <c r="E71" s="3" t="n">
        <v>0</v>
      </c>
      <c r="F71" s="3" t="inlineStr">
        <is>
          <t>Sistema</t>
        </is>
      </c>
      <c r="G71" s="3" t="inlineStr"/>
    </row>
    <row r="72">
      <c r="A72" s="2" t="inlineStr">
        <is>
          <t>AG222HH</t>
        </is>
      </c>
      <c r="B72" s="2" t="inlineStr">
        <is>
          <t>2026-05-06</t>
        </is>
      </c>
      <c r="C72" s="2" t="inlineStr">
        <is>
          <t>08:45:36</t>
        </is>
      </c>
      <c r="D72" s="2" t="inlineStr">
        <is>
          <t>Entrada</t>
        </is>
      </c>
      <c r="E72" s="2" t="n">
        <v>0</v>
      </c>
      <c r="F72" s="2" t="inlineStr">
        <is>
          <t>Sistema</t>
        </is>
      </c>
      <c r="G72" s="2" t="inlineStr"/>
    </row>
    <row r="73">
      <c r="A73" s="3" t="inlineStr">
        <is>
          <t>AA123BB</t>
        </is>
      </c>
      <c r="B73" s="3" t="inlineStr">
        <is>
          <t>2026-05-06</t>
        </is>
      </c>
      <c r="C73" s="3" t="inlineStr">
        <is>
          <t>09:25:26</t>
        </is>
      </c>
      <c r="D73" s="3" t="inlineStr">
        <is>
          <t>Entrada</t>
        </is>
      </c>
      <c r="E73" s="3" t="n">
        <v>0</v>
      </c>
      <c r="F73" s="3" t="inlineStr">
        <is>
          <t>Sistema</t>
        </is>
      </c>
      <c r="G73" s="3" t="inlineStr"/>
    </row>
    <row r="74">
      <c r="A74" s="2" t="inlineStr">
        <is>
          <t>AI333JJ</t>
        </is>
      </c>
      <c r="B74" s="2" t="inlineStr">
        <is>
          <t>2026-05-06</t>
        </is>
      </c>
      <c r="C74" s="2" t="inlineStr">
        <is>
          <t>10:29:09</t>
        </is>
      </c>
      <c r="D74" s="2" t="inlineStr">
        <is>
          <t>Entrada</t>
        </is>
      </c>
      <c r="E74" s="2" t="n">
        <v>0</v>
      </c>
      <c r="F74" s="2" t="inlineStr">
        <is>
          <t>Sistema</t>
        </is>
      </c>
      <c r="G74" s="2" t="inlineStr"/>
    </row>
    <row r="75">
      <c r="A75" s="3" t="inlineStr">
        <is>
          <t>AD111EF</t>
        </is>
      </c>
      <c r="B75" s="3" t="inlineStr">
        <is>
          <t>2026-05-06</t>
        </is>
      </c>
      <c r="C75" s="3" t="inlineStr">
        <is>
          <t>10:33:49</t>
        </is>
      </c>
      <c r="D75" s="3" t="inlineStr">
        <is>
          <t>Entrada</t>
        </is>
      </c>
      <c r="E75" s="3" t="n">
        <v>0</v>
      </c>
      <c r="F75" s="3" t="inlineStr">
        <is>
          <t>Sistema</t>
        </is>
      </c>
      <c r="G75" s="3" t="inlineStr"/>
    </row>
    <row r="76">
      <c r="A76" s="2" t="inlineStr">
        <is>
          <t>AA123BB</t>
        </is>
      </c>
      <c r="B76" s="2" t="inlineStr">
        <is>
          <t>2026-05-06</t>
        </is>
      </c>
      <c r="C76" s="2" t="inlineStr">
        <is>
          <t>11:34:51</t>
        </is>
      </c>
      <c r="D76" s="2" t="inlineStr">
        <is>
          <t>Salida</t>
        </is>
      </c>
      <c r="E76" s="2" t="n">
        <v>1250</v>
      </c>
      <c r="F76" s="2" t="inlineStr">
        <is>
          <t>Sistema</t>
        </is>
      </c>
      <c r="G76" s="2" t="inlineStr"/>
    </row>
    <row r="77">
      <c r="A77" s="3" t="inlineStr">
        <is>
          <t>AG222HH</t>
        </is>
      </c>
      <c r="B77" s="3" t="inlineStr">
        <is>
          <t>2026-05-06</t>
        </is>
      </c>
      <c r="C77" s="3" t="inlineStr">
        <is>
          <t>13:09:20</t>
        </is>
      </c>
      <c r="D77" s="3" t="inlineStr">
        <is>
          <t>Salida</t>
        </is>
      </c>
      <c r="E77" s="3" t="n">
        <v>1500</v>
      </c>
      <c r="F77" s="3" t="inlineStr">
        <is>
          <t>Sistema</t>
        </is>
      </c>
      <c r="G77" s="3" t="inlineStr"/>
    </row>
    <row r="78">
      <c r="A78" s="2" t="inlineStr">
        <is>
          <t>AD111EF</t>
        </is>
      </c>
      <c r="B78" s="2" t="inlineStr">
        <is>
          <t>2026-05-06</t>
        </is>
      </c>
      <c r="C78" s="2" t="inlineStr">
        <is>
          <t>14:29:59</t>
        </is>
      </c>
      <c r="D78" s="2" t="inlineStr">
        <is>
          <t>Salida</t>
        </is>
      </c>
      <c r="E78" s="2" t="n">
        <v>2000</v>
      </c>
      <c r="F78" s="2" t="inlineStr">
        <is>
          <t>Sistema</t>
        </is>
      </c>
      <c r="G78" s="2" t="inlineStr"/>
    </row>
    <row r="79">
      <c r="A79" s="3" t="inlineStr">
        <is>
          <t>AM555NN</t>
        </is>
      </c>
      <c r="B79" s="3" t="inlineStr">
        <is>
          <t>2026-05-06</t>
        </is>
      </c>
      <c r="C79" s="3" t="inlineStr">
        <is>
          <t>15:07:21</t>
        </is>
      </c>
      <c r="D79" s="3" t="inlineStr">
        <is>
          <t>Entrada</t>
        </is>
      </c>
      <c r="E79" s="3" t="n">
        <v>0</v>
      </c>
      <c r="F79" s="3" t="inlineStr">
        <is>
          <t>Sistema</t>
        </is>
      </c>
      <c r="G79" s="3" t="inlineStr"/>
    </row>
    <row r="80">
      <c r="A80" s="2" t="inlineStr">
        <is>
          <t>AF202KL</t>
        </is>
      </c>
      <c r="B80" s="2" t="inlineStr">
        <is>
          <t>2026-05-06</t>
        </is>
      </c>
      <c r="C80" s="2" t="inlineStr">
        <is>
          <t>15:15:19</t>
        </is>
      </c>
      <c r="D80" s="2" t="inlineStr">
        <is>
          <t>Entrada</t>
        </is>
      </c>
      <c r="E80" s="2" t="n">
        <v>0</v>
      </c>
      <c r="F80" s="2" t="inlineStr">
        <is>
          <t>Sistema</t>
        </is>
      </c>
      <c r="G80" s="2" t="inlineStr"/>
    </row>
    <row r="81">
      <c r="A81" s="3" t="inlineStr">
        <is>
          <t>AD789GH</t>
        </is>
      </c>
      <c r="B81" s="3" t="inlineStr">
        <is>
          <t>2026-05-06</t>
        </is>
      </c>
      <c r="C81" s="3" t="inlineStr">
        <is>
          <t>16:05:39</t>
        </is>
      </c>
      <c r="D81" s="3" t="inlineStr">
        <is>
          <t>Entrada</t>
        </is>
      </c>
      <c r="E81" s="3" t="n">
        <v>0</v>
      </c>
      <c r="F81" s="3" t="inlineStr">
        <is>
          <t>Sistema</t>
        </is>
      </c>
      <c r="G81" s="3" t="inlineStr"/>
    </row>
    <row r="82">
      <c r="A82" s="2" t="inlineStr">
        <is>
          <t>AD789GH</t>
        </is>
      </c>
      <c r="B82" s="2" t="inlineStr">
        <is>
          <t>2026-05-06</t>
        </is>
      </c>
      <c r="C82" s="2" t="inlineStr">
        <is>
          <t>17:09:22</t>
        </is>
      </c>
      <c r="D82" s="2" t="inlineStr">
        <is>
          <t>Salida</t>
        </is>
      </c>
      <c r="E82" s="2" t="n">
        <v>1250</v>
      </c>
      <c r="F82" s="2" t="inlineStr">
        <is>
          <t>Sistema</t>
        </is>
      </c>
      <c r="G82" s="2" t="inlineStr"/>
    </row>
    <row r="83">
      <c r="A83" s="3" t="inlineStr">
        <is>
          <t>AF202KL</t>
        </is>
      </c>
      <c r="B83" s="3" t="inlineStr">
        <is>
          <t>2026-05-06</t>
        </is>
      </c>
      <c r="C83" s="3" t="inlineStr">
        <is>
          <t>17:21:00</t>
        </is>
      </c>
      <c r="D83" s="3" t="inlineStr">
        <is>
          <t>Salida</t>
        </is>
      </c>
      <c r="E83" s="3" t="n">
        <v>1250</v>
      </c>
      <c r="F83" s="3" t="inlineStr">
        <is>
          <t>Sistema</t>
        </is>
      </c>
      <c r="G83" s="3" t="inlineStr"/>
    </row>
    <row r="84">
      <c r="A84" s="2" t="inlineStr">
        <is>
          <t>AM555NN</t>
        </is>
      </c>
      <c r="B84" s="2" t="inlineStr">
        <is>
          <t>2026-05-06</t>
        </is>
      </c>
      <c r="C84" s="2" t="inlineStr">
        <is>
          <t>17:23:45</t>
        </is>
      </c>
      <c r="D84" s="2" t="inlineStr">
        <is>
          <t>Salida</t>
        </is>
      </c>
      <c r="E84" s="2" t="n">
        <v>2000</v>
      </c>
      <c r="F84" s="2" t="inlineStr">
        <is>
          <t>Sistema</t>
        </is>
      </c>
      <c r="G84" s="2" t="inlineStr"/>
    </row>
    <row r="85">
      <c r="A85" s="3" t="inlineStr">
        <is>
          <t>AE101IJ</t>
        </is>
      </c>
      <c r="B85" s="3" t="inlineStr">
        <is>
          <t>2026-05-06</t>
        </is>
      </c>
      <c r="C85" s="3" t="inlineStr">
        <is>
          <t>17:51:23</t>
        </is>
      </c>
      <c r="D85" s="3" t="inlineStr">
        <is>
          <t>Entrada</t>
        </is>
      </c>
      <c r="E85" s="3" t="n">
        <v>0</v>
      </c>
      <c r="F85" s="3" t="inlineStr">
        <is>
          <t>Sistema</t>
        </is>
      </c>
      <c r="G85" s="3" t="inlineStr"/>
    </row>
    <row r="86">
      <c r="A86" s="2" t="inlineStr">
        <is>
          <t>AC456DF</t>
        </is>
      </c>
      <c r="B86" s="2" t="inlineStr">
        <is>
          <t>2026-05-06</t>
        </is>
      </c>
      <c r="C86" s="2" t="inlineStr">
        <is>
          <t>18:13:24</t>
        </is>
      </c>
      <c r="D86" s="2" t="inlineStr">
        <is>
          <t>Entrada</t>
        </is>
      </c>
      <c r="E86" s="2" t="n">
        <v>0</v>
      </c>
      <c r="F86" s="2" t="inlineStr">
        <is>
          <t>Sistema</t>
        </is>
      </c>
      <c r="G86" s="2" t="inlineStr"/>
    </row>
    <row r="87">
      <c r="A87" s="3" t="inlineStr">
        <is>
          <t>AC456DF</t>
        </is>
      </c>
      <c r="B87" s="3" t="inlineStr">
        <is>
          <t>2026-05-06</t>
        </is>
      </c>
      <c r="C87" s="3" t="inlineStr">
        <is>
          <t>19:01:55</t>
        </is>
      </c>
      <c r="D87" s="3" t="inlineStr">
        <is>
          <t>Salida</t>
        </is>
      </c>
      <c r="E87" s="3" t="n">
        <v>750</v>
      </c>
      <c r="F87" s="3" t="inlineStr">
        <is>
          <t>Sistema</t>
        </is>
      </c>
      <c r="G87" s="3" t="inlineStr"/>
    </row>
    <row r="88">
      <c r="A88" s="2" t="inlineStr">
        <is>
          <t>AE101IJ</t>
        </is>
      </c>
      <c r="B88" s="2" t="inlineStr">
        <is>
          <t>2026-05-06</t>
        </is>
      </c>
      <c r="C88" s="2" t="inlineStr">
        <is>
          <t>21:16:41</t>
        </is>
      </c>
      <c r="D88" s="2" t="inlineStr">
        <is>
          <t>Salida</t>
        </is>
      </c>
      <c r="E88" s="2" t="n">
        <v>2000</v>
      </c>
      <c r="F88" s="2" t="inlineStr">
        <is>
          <t>Sistema</t>
        </is>
      </c>
      <c r="G88" s="2" t="inlineStr"/>
    </row>
    <row r="89">
      <c r="A89" s="3" t="inlineStr">
        <is>
          <t>AD789GH</t>
        </is>
      </c>
      <c r="B89" s="3" t="inlineStr">
        <is>
          <t>2026-05-07</t>
        </is>
      </c>
      <c r="C89" s="3" t="inlineStr">
        <is>
          <t>07:22:14</t>
        </is>
      </c>
      <c r="D89" s="3" t="inlineStr">
        <is>
          <t>Entrada</t>
        </is>
      </c>
      <c r="E89" s="3" t="n">
        <v>0</v>
      </c>
      <c r="F89" s="3" t="inlineStr">
        <is>
          <t>Sistema</t>
        </is>
      </c>
      <c r="G89" s="3" t="inlineStr"/>
    </row>
    <row r="90">
      <c r="A90" s="2" t="inlineStr">
        <is>
          <t>AM555NN</t>
        </is>
      </c>
      <c r="B90" s="2" t="inlineStr">
        <is>
          <t>2026-05-07</t>
        </is>
      </c>
      <c r="C90" s="2" t="inlineStr">
        <is>
          <t>07:26:13</t>
        </is>
      </c>
      <c r="D90" s="2" t="inlineStr">
        <is>
          <t>Entrada</t>
        </is>
      </c>
      <c r="E90" s="2" t="n">
        <v>0</v>
      </c>
      <c r="F90" s="2" t="inlineStr">
        <is>
          <t>Sistema</t>
        </is>
      </c>
      <c r="G90" s="2" t="inlineStr"/>
    </row>
    <row r="91">
      <c r="A91" s="3" t="inlineStr">
        <is>
          <t>AD789GH</t>
        </is>
      </c>
      <c r="B91" s="3" t="inlineStr">
        <is>
          <t>2026-05-07</t>
        </is>
      </c>
      <c r="C91" s="3" t="inlineStr">
        <is>
          <t>08:06:26</t>
        </is>
      </c>
      <c r="D91" s="3" t="inlineStr">
        <is>
          <t>Salida</t>
        </is>
      </c>
      <c r="E91" s="3" t="n">
        <v>1250</v>
      </c>
      <c r="F91" s="3" t="inlineStr">
        <is>
          <t>Sistema</t>
        </is>
      </c>
      <c r="G91" s="3" t="inlineStr"/>
    </row>
    <row r="92">
      <c r="A92" s="2" t="inlineStr">
        <is>
          <t>AA123BB</t>
        </is>
      </c>
      <c r="B92" s="2" t="inlineStr">
        <is>
          <t>2026-05-07</t>
        </is>
      </c>
      <c r="C92" s="2" t="inlineStr">
        <is>
          <t>09:10:50</t>
        </is>
      </c>
      <c r="D92" s="2" t="inlineStr">
        <is>
          <t>Entrada</t>
        </is>
      </c>
      <c r="E92" s="2" t="n">
        <v>0</v>
      </c>
      <c r="F92" s="2" t="inlineStr">
        <is>
          <t>Sistema</t>
        </is>
      </c>
      <c r="G92" s="2" t="inlineStr"/>
    </row>
    <row r="93">
      <c r="A93" s="3" t="inlineStr">
        <is>
          <t>AE101IJ</t>
        </is>
      </c>
      <c r="B93" s="3" t="inlineStr">
        <is>
          <t>2026-05-07</t>
        </is>
      </c>
      <c r="C93" s="3" t="inlineStr">
        <is>
          <t>10:04:46</t>
        </is>
      </c>
      <c r="D93" s="3" t="inlineStr">
        <is>
          <t>Entrada</t>
        </is>
      </c>
      <c r="E93" s="3" t="n">
        <v>0</v>
      </c>
      <c r="F93" s="3" t="inlineStr">
        <is>
          <t>Sistema</t>
        </is>
      </c>
      <c r="G93" s="3" t="inlineStr"/>
    </row>
    <row r="94">
      <c r="A94" s="2" t="inlineStr">
        <is>
          <t>AD111EF</t>
        </is>
      </c>
      <c r="B94" s="2" t="inlineStr">
        <is>
          <t>2026-05-07</t>
        </is>
      </c>
      <c r="C94" s="2" t="inlineStr">
        <is>
          <t>10:16:18</t>
        </is>
      </c>
      <c r="D94" s="2" t="inlineStr">
        <is>
          <t>Entrada</t>
        </is>
      </c>
      <c r="E94" s="2" t="n">
        <v>0</v>
      </c>
      <c r="F94" s="2" t="inlineStr">
        <is>
          <t>Sistema</t>
        </is>
      </c>
      <c r="G94" s="2" t="inlineStr"/>
    </row>
    <row r="95">
      <c r="A95" s="3" t="inlineStr">
        <is>
          <t>AM555NN</t>
        </is>
      </c>
      <c r="B95" s="3" t="inlineStr">
        <is>
          <t>2026-05-07</t>
        </is>
      </c>
      <c r="C95" s="3" t="inlineStr">
        <is>
          <t>11:45:30</t>
        </is>
      </c>
      <c r="D95" s="3" t="inlineStr">
        <is>
          <t>Salida</t>
        </is>
      </c>
      <c r="E95" s="3" t="n">
        <v>500</v>
      </c>
      <c r="F95" s="3" t="inlineStr">
        <is>
          <t>Sistema</t>
        </is>
      </c>
      <c r="G95" s="3" t="inlineStr"/>
    </row>
    <row r="96">
      <c r="A96" s="2" t="inlineStr">
        <is>
          <t>AG222HH</t>
        </is>
      </c>
      <c r="B96" s="2" t="inlineStr">
        <is>
          <t>2026-05-07</t>
        </is>
      </c>
      <c r="C96" s="2" t="inlineStr">
        <is>
          <t>13:39:36</t>
        </is>
      </c>
      <c r="D96" s="2" t="inlineStr">
        <is>
          <t>Entrada</t>
        </is>
      </c>
      <c r="E96" s="2" t="n">
        <v>0</v>
      </c>
      <c r="F96" s="2" t="inlineStr">
        <is>
          <t>Sistema</t>
        </is>
      </c>
      <c r="G96" s="2" t="inlineStr"/>
    </row>
    <row r="97">
      <c r="A97" s="3" t="inlineStr">
        <is>
          <t>AA123BB</t>
        </is>
      </c>
      <c r="B97" s="3" t="inlineStr">
        <is>
          <t>2026-05-07</t>
        </is>
      </c>
      <c r="C97" s="3" t="inlineStr">
        <is>
          <t>13:46:41</t>
        </is>
      </c>
      <c r="D97" s="3" t="inlineStr">
        <is>
          <t>Salida</t>
        </is>
      </c>
      <c r="E97" s="3" t="n">
        <v>1250</v>
      </c>
      <c r="F97" s="3" t="inlineStr">
        <is>
          <t>Sistema</t>
        </is>
      </c>
      <c r="G97" s="3" t="inlineStr"/>
    </row>
    <row r="98">
      <c r="A98" s="2" t="inlineStr">
        <is>
          <t>AC456DF</t>
        </is>
      </c>
      <c r="B98" s="2" t="inlineStr">
        <is>
          <t>2026-05-07</t>
        </is>
      </c>
      <c r="C98" s="2" t="inlineStr">
        <is>
          <t>14:14:46</t>
        </is>
      </c>
      <c r="D98" s="2" t="inlineStr">
        <is>
          <t>Entrada</t>
        </is>
      </c>
      <c r="E98" s="2" t="n">
        <v>0</v>
      </c>
      <c r="F98" s="2" t="inlineStr">
        <is>
          <t>Sistema</t>
        </is>
      </c>
      <c r="G98" s="2" t="inlineStr"/>
    </row>
    <row r="99">
      <c r="A99" s="3" t="inlineStr">
        <is>
          <t>AI333JJ</t>
        </is>
      </c>
      <c r="B99" s="3" t="inlineStr">
        <is>
          <t>2026-05-07</t>
        </is>
      </c>
      <c r="C99" s="3" t="inlineStr">
        <is>
          <t>14:20:51</t>
        </is>
      </c>
      <c r="D99" s="3" t="inlineStr">
        <is>
          <t>Entrada</t>
        </is>
      </c>
      <c r="E99" s="3" t="n">
        <v>0</v>
      </c>
      <c r="F99" s="3" t="inlineStr">
        <is>
          <t>Sistema</t>
        </is>
      </c>
      <c r="G99" s="3" t="inlineStr"/>
    </row>
    <row r="100">
      <c r="A100" s="2" t="inlineStr">
        <is>
          <t>AF202KL</t>
        </is>
      </c>
      <c r="B100" s="2" t="inlineStr">
        <is>
          <t>2026-05-07</t>
        </is>
      </c>
      <c r="C100" s="2" t="inlineStr">
        <is>
          <t>16:04:13</t>
        </is>
      </c>
      <c r="D100" s="2" t="inlineStr">
        <is>
          <t>Entrada</t>
        </is>
      </c>
      <c r="E100" s="2" t="n">
        <v>0</v>
      </c>
      <c r="F100" s="2" t="inlineStr">
        <is>
          <t>Sistema</t>
        </is>
      </c>
      <c r="G100" s="2" t="inlineStr"/>
    </row>
    <row r="101">
      <c r="A101" s="3" t="inlineStr">
        <is>
          <t>AG222HH</t>
        </is>
      </c>
      <c r="B101" s="3" t="inlineStr">
        <is>
          <t>2026-05-07</t>
        </is>
      </c>
      <c r="C101" s="3" t="inlineStr">
        <is>
          <t>16:20:45</t>
        </is>
      </c>
      <c r="D101" s="3" t="inlineStr">
        <is>
          <t>Salida</t>
        </is>
      </c>
      <c r="E101" s="3" t="n">
        <v>500</v>
      </c>
      <c r="F101" s="3" t="inlineStr">
        <is>
          <t>Sistema</t>
        </is>
      </c>
      <c r="G101" s="3" t="inlineStr"/>
    </row>
    <row r="102">
      <c r="A102" s="2" t="inlineStr">
        <is>
          <t>AI333JJ</t>
        </is>
      </c>
      <c r="B102" s="2" t="inlineStr">
        <is>
          <t>2026-05-07</t>
        </is>
      </c>
      <c r="C102" s="2" t="inlineStr">
        <is>
          <t>16:35:41</t>
        </is>
      </c>
      <c r="D102" s="2" t="inlineStr">
        <is>
          <t>Salida</t>
        </is>
      </c>
      <c r="E102" s="2" t="n">
        <v>1250</v>
      </c>
      <c r="F102" s="2" t="inlineStr">
        <is>
          <t>Sistema</t>
        </is>
      </c>
      <c r="G102" s="2" t="inlineStr"/>
    </row>
    <row r="103">
      <c r="A103" s="3" t="inlineStr">
        <is>
          <t>AC456DF</t>
        </is>
      </c>
      <c r="B103" s="3" t="inlineStr">
        <is>
          <t>2026-05-07</t>
        </is>
      </c>
      <c r="C103" s="3" t="inlineStr">
        <is>
          <t>17:20:25</t>
        </is>
      </c>
      <c r="D103" s="3" t="inlineStr">
        <is>
          <t>Salida</t>
        </is>
      </c>
      <c r="E103" s="3" t="n">
        <v>2000</v>
      </c>
      <c r="F103" s="3" t="inlineStr">
        <is>
          <t>Sistema</t>
        </is>
      </c>
      <c r="G103" s="3" t="inlineStr"/>
    </row>
    <row r="104">
      <c r="A104" s="2" t="inlineStr">
        <is>
          <t>AM555NN</t>
        </is>
      </c>
      <c r="B104" s="2" t="inlineStr">
        <is>
          <t>2026-05-08</t>
        </is>
      </c>
      <c r="C104" s="2" t="inlineStr">
        <is>
          <t>07:46:26</t>
        </is>
      </c>
      <c r="D104" s="2" t="inlineStr">
        <is>
          <t>Entrada</t>
        </is>
      </c>
      <c r="E104" s="2" t="n">
        <v>0</v>
      </c>
      <c r="F104" s="2" t="inlineStr">
        <is>
          <t>Sistema</t>
        </is>
      </c>
      <c r="G104" s="2" t="inlineStr"/>
    </row>
    <row r="105">
      <c r="A105" s="3" t="inlineStr">
        <is>
          <t>AA123BB</t>
        </is>
      </c>
      <c r="B105" s="3" t="inlineStr">
        <is>
          <t>2026-05-08</t>
        </is>
      </c>
      <c r="C105" s="3" t="inlineStr">
        <is>
          <t>08:48:43</t>
        </is>
      </c>
      <c r="D105" s="3" t="inlineStr">
        <is>
          <t>Entrada</t>
        </is>
      </c>
      <c r="E105" s="3" t="n">
        <v>0</v>
      </c>
      <c r="F105" s="3" t="inlineStr">
        <is>
          <t>Sistema</t>
        </is>
      </c>
      <c r="G105" s="3" t="inlineStr"/>
    </row>
    <row r="106">
      <c r="A106" s="2" t="inlineStr">
        <is>
          <t>AG222HH</t>
        </is>
      </c>
      <c r="B106" s="2" t="inlineStr">
        <is>
          <t>2026-05-08</t>
        </is>
      </c>
      <c r="C106" s="2" t="inlineStr">
        <is>
          <t>10:15:46</t>
        </is>
      </c>
      <c r="D106" s="2" t="inlineStr">
        <is>
          <t>Entrada</t>
        </is>
      </c>
      <c r="E106" s="2" t="n">
        <v>0</v>
      </c>
      <c r="F106" s="2" t="inlineStr">
        <is>
          <t>Sistema</t>
        </is>
      </c>
      <c r="G106" s="2" t="inlineStr"/>
    </row>
    <row r="107">
      <c r="A107" s="3" t="inlineStr">
        <is>
          <t>AA123BB</t>
        </is>
      </c>
      <c r="B107" s="3" t="inlineStr">
        <is>
          <t>2026-05-08</t>
        </is>
      </c>
      <c r="C107" s="3" t="inlineStr">
        <is>
          <t>11:23:48</t>
        </is>
      </c>
      <c r="D107" s="3" t="inlineStr">
        <is>
          <t>Salida</t>
        </is>
      </c>
      <c r="E107" s="3" t="n">
        <v>1000</v>
      </c>
      <c r="F107" s="3" t="inlineStr">
        <is>
          <t>Sistema</t>
        </is>
      </c>
      <c r="G107" s="3" t="inlineStr"/>
    </row>
    <row r="108">
      <c r="A108" s="2" t="inlineStr">
        <is>
          <t>AM555NN</t>
        </is>
      </c>
      <c r="B108" s="2" t="inlineStr">
        <is>
          <t>2026-05-08</t>
        </is>
      </c>
      <c r="C108" s="2" t="inlineStr">
        <is>
          <t>12:36:42</t>
        </is>
      </c>
      <c r="D108" s="2" t="inlineStr">
        <is>
          <t>Salida</t>
        </is>
      </c>
      <c r="E108" s="2" t="n">
        <v>1250</v>
      </c>
      <c r="F108" s="2" t="inlineStr">
        <is>
          <t>Sistema</t>
        </is>
      </c>
      <c r="G108" s="2" t="inlineStr"/>
    </row>
    <row r="109">
      <c r="A109" s="3" t="inlineStr">
        <is>
          <t>AG222HH</t>
        </is>
      </c>
      <c r="B109" s="3" t="inlineStr">
        <is>
          <t>2026-05-08</t>
        </is>
      </c>
      <c r="C109" s="3" t="inlineStr">
        <is>
          <t>13:55:17</t>
        </is>
      </c>
      <c r="D109" s="3" t="inlineStr">
        <is>
          <t>Salida</t>
        </is>
      </c>
      <c r="E109" s="3" t="n">
        <v>1000</v>
      </c>
      <c r="F109" s="3" t="inlineStr">
        <is>
          <t>Sistema</t>
        </is>
      </c>
      <c r="G109" s="3" t="inlineStr"/>
    </row>
    <row r="110">
      <c r="A110" s="2" t="inlineStr">
        <is>
          <t>AD789GH</t>
        </is>
      </c>
      <c r="B110" s="2" t="inlineStr">
        <is>
          <t>2026-05-08</t>
        </is>
      </c>
      <c r="C110" s="2" t="inlineStr">
        <is>
          <t>14:01:35</t>
        </is>
      </c>
      <c r="D110" s="2" t="inlineStr">
        <is>
          <t>Entrada</t>
        </is>
      </c>
      <c r="E110" s="2" t="n">
        <v>0</v>
      </c>
      <c r="F110" s="2" t="inlineStr">
        <is>
          <t>Sistema</t>
        </is>
      </c>
      <c r="G110" s="2" t="inlineStr"/>
    </row>
    <row r="111">
      <c r="A111" s="3" t="inlineStr">
        <is>
          <t>AI333JJ</t>
        </is>
      </c>
      <c r="B111" s="3" t="inlineStr">
        <is>
          <t>2026-05-08</t>
        </is>
      </c>
      <c r="C111" s="3" t="inlineStr">
        <is>
          <t>14:33:50</t>
        </is>
      </c>
      <c r="D111" s="3" t="inlineStr">
        <is>
          <t>Entrada</t>
        </is>
      </c>
      <c r="E111" s="3" t="n">
        <v>0</v>
      </c>
      <c r="F111" s="3" t="inlineStr">
        <is>
          <t>Sistema</t>
        </is>
      </c>
      <c r="G111" s="3" t="inlineStr"/>
    </row>
    <row r="112">
      <c r="A112" s="2" t="inlineStr">
        <is>
          <t>AC456DF</t>
        </is>
      </c>
      <c r="B112" s="2" t="inlineStr">
        <is>
          <t>2026-05-08</t>
        </is>
      </c>
      <c r="C112" s="2" t="inlineStr">
        <is>
          <t>14:57:09</t>
        </is>
      </c>
      <c r="D112" s="2" t="inlineStr">
        <is>
          <t>Entrada</t>
        </is>
      </c>
      <c r="E112" s="2" t="n">
        <v>0</v>
      </c>
      <c r="F112" s="2" t="inlineStr">
        <is>
          <t>Sistema</t>
        </is>
      </c>
      <c r="G112" s="2" t="inlineStr"/>
    </row>
    <row r="113">
      <c r="A113" s="3" t="inlineStr">
        <is>
          <t>AE101IJ</t>
        </is>
      </c>
      <c r="B113" s="3" t="inlineStr">
        <is>
          <t>2026-05-08</t>
        </is>
      </c>
      <c r="C113" s="3" t="inlineStr">
        <is>
          <t>15:59:04</t>
        </is>
      </c>
      <c r="D113" s="3" t="inlineStr">
        <is>
          <t>Entrada</t>
        </is>
      </c>
      <c r="E113" s="3" t="n">
        <v>0</v>
      </c>
      <c r="F113" s="3" t="inlineStr">
        <is>
          <t>Sistema</t>
        </is>
      </c>
      <c r="G113" s="3" t="inlineStr"/>
    </row>
    <row r="114">
      <c r="A114" s="2" t="inlineStr">
        <is>
          <t>AC456DF</t>
        </is>
      </c>
      <c r="B114" s="2" t="inlineStr">
        <is>
          <t>2026-05-08</t>
        </is>
      </c>
      <c r="C114" s="2" t="inlineStr">
        <is>
          <t>17:46:01</t>
        </is>
      </c>
      <c r="D114" s="2" t="inlineStr">
        <is>
          <t>Salida</t>
        </is>
      </c>
      <c r="E114" s="2" t="n">
        <v>1250</v>
      </c>
      <c r="F114" s="2" t="inlineStr">
        <is>
          <t>Sistema</t>
        </is>
      </c>
      <c r="G114" s="2" t="inlineStr"/>
    </row>
    <row r="115">
      <c r="A115" s="3" t="inlineStr">
        <is>
          <t>AD789GH</t>
        </is>
      </c>
      <c r="B115" s="3" t="inlineStr">
        <is>
          <t>2026-05-08</t>
        </is>
      </c>
      <c r="C115" s="3" t="inlineStr">
        <is>
          <t>18:09:15</t>
        </is>
      </c>
      <c r="D115" s="3" t="inlineStr">
        <is>
          <t>Salida</t>
        </is>
      </c>
      <c r="E115" s="3" t="n">
        <v>1500</v>
      </c>
      <c r="F115" s="3" t="inlineStr">
        <is>
          <t>Sistema</t>
        </is>
      </c>
      <c r="G115" s="3" t="inlineStr"/>
    </row>
    <row r="116">
      <c r="A116" s="2" t="inlineStr">
        <is>
          <t>AD111EF</t>
        </is>
      </c>
      <c r="B116" s="2" t="inlineStr">
        <is>
          <t>2026-05-08</t>
        </is>
      </c>
      <c r="C116" s="2" t="inlineStr">
        <is>
          <t>18:23:42</t>
        </is>
      </c>
      <c r="D116" s="2" t="inlineStr">
        <is>
          <t>Entrada</t>
        </is>
      </c>
      <c r="E116" s="2" t="n">
        <v>0</v>
      </c>
      <c r="F116" s="2" t="inlineStr">
        <is>
          <t>Sistema</t>
        </is>
      </c>
      <c r="G116" s="2" t="inlineStr"/>
    </row>
    <row r="117">
      <c r="A117" s="3" t="inlineStr">
        <is>
          <t>AF202KL</t>
        </is>
      </c>
      <c r="B117" s="3" t="inlineStr">
        <is>
          <t>2026-05-08</t>
        </is>
      </c>
      <c r="C117" s="3" t="inlineStr">
        <is>
          <t>18:39:02</t>
        </is>
      </c>
      <c r="D117" s="3" t="inlineStr">
        <is>
          <t>Entrada</t>
        </is>
      </c>
      <c r="E117" s="3" t="n">
        <v>0</v>
      </c>
      <c r="F117" s="3" t="inlineStr">
        <is>
          <t>Sistema</t>
        </is>
      </c>
      <c r="G117" s="3" t="inlineStr"/>
    </row>
    <row r="118">
      <c r="A118" s="2" t="inlineStr">
        <is>
          <t>AI333JJ</t>
        </is>
      </c>
      <c r="B118" s="2" t="inlineStr">
        <is>
          <t>2026-05-08</t>
        </is>
      </c>
      <c r="C118" s="2" t="inlineStr">
        <is>
          <t>19:20:15</t>
        </is>
      </c>
      <c r="D118" s="2" t="inlineStr">
        <is>
          <t>Salida</t>
        </is>
      </c>
      <c r="E118" s="2" t="n">
        <v>1000</v>
      </c>
      <c r="F118" s="2" t="inlineStr">
        <is>
          <t>Sistema</t>
        </is>
      </c>
      <c r="G118" s="2" t="inlineStr"/>
    </row>
    <row r="119">
      <c r="A119" s="3" t="inlineStr">
        <is>
          <t>AE101IJ</t>
        </is>
      </c>
      <c r="B119" s="3" t="inlineStr">
        <is>
          <t>2026-05-08</t>
        </is>
      </c>
      <c r="C119" s="3" t="inlineStr">
        <is>
          <t>19:29:07</t>
        </is>
      </c>
      <c r="D119" s="3" t="inlineStr">
        <is>
          <t>Salida</t>
        </is>
      </c>
      <c r="E119" s="3" t="n">
        <v>750</v>
      </c>
      <c r="F119" s="3" t="inlineStr">
        <is>
          <t>Sistema</t>
        </is>
      </c>
      <c r="G119" s="3" t="inlineStr"/>
    </row>
    <row r="120">
      <c r="A120" s="2" t="inlineStr">
        <is>
          <t>AD111EF</t>
        </is>
      </c>
      <c r="B120" s="2" t="inlineStr">
        <is>
          <t>2026-05-08</t>
        </is>
      </c>
      <c r="C120" s="2" t="inlineStr">
        <is>
          <t>19:38:05</t>
        </is>
      </c>
      <c r="D120" s="2" t="inlineStr">
        <is>
          <t>Salida</t>
        </is>
      </c>
      <c r="E120" s="2" t="n">
        <v>500</v>
      </c>
      <c r="F120" s="2" t="inlineStr">
        <is>
          <t>Sistema</t>
        </is>
      </c>
      <c r="G120" s="2" t="inlineStr"/>
    </row>
    <row r="121">
      <c r="A121" s="3" t="inlineStr">
        <is>
          <t>AF202KL</t>
        </is>
      </c>
      <c r="B121" s="3" t="inlineStr">
        <is>
          <t>2026-05-08</t>
        </is>
      </c>
      <c r="C121" s="3" t="inlineStr">
        <is>
          <t>20:18:12</t>
        </is>
      </c>
      <c r="D121" s="3" t="inlineStr">
        <is>
          <t>Salida</t>
        </is>
      </c>
      <c r="E121" s="3" t="n">
        <v>500</v>
      </c>
      <c r="F121" s="3" t="inlineStr">
        <is>
          <t>Sistema</t>
        </is>
      </c>
      <c r="G121" s="3" t="inlineStr"/>
    </row>
  </sheetData>
  <dataValidations count="1">
    <dataValidation sqref="D2:D5000" showDropDown="0" showInputMessage="0" showErrorMessage="0" allowBlank="0" error="Solo Entrada o Salida" type="list">
      <formula1>"Entrada,Salida"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17" customWidth="1" min="7" max="7"/>
    <col width="21" customWidth="1" min="8" max="8"/>
    <col width="28" customWidth="1" min="9" max="9"/>
  </cols>
  <sheetData>
    <row r="1">
      <c r="A1" s="1" t="inlineStr">
        <is>
          <t>fecha</t>
        </is>
      </c>
      <c r="B1" s="1" t="inlineStr">
        <is>
          <t>ingresos_dia</t>
        </is>
      </c>
      <c r="C1" s="1" t="inlineStr">
        <is>
          <t>salidas_dia</t>
        </is>
      </c>
      <c r="D1" s="1" t="inlineStr">
        <is>
          <t>recaudacion_dia</t>
        </is>
      </c>
      <c r="E1" s="1" t="inlineStr">
        <is>
          <t>ocupacion_max</t>
        </is>
      </c>
      <c r="F1" s="1" t="inlineStr">
        <is>
          <t>hora_pico_inicio</t>
        </is>
      </c>
      <c r="G1" s="1" t="inlineStr">
        <is>
          <t>hora_pico_fin</t>
        </is>
      </c>
      <c r="H1" s="1" t="inlineStr">
        <is>
          <t>ingresos_mes_acum</t>
        </is>
      </c>
      <c r="I1" s="1" t="inlineStr">
        <is>
          <t>promedio_diario</t>
        </is>
      </c>
    </row>
    <row r="2">
      <c r="A2" s="2" t="inlineStr">
        <is>
          <t>2026-05-01</t>
        </is>
      </c>
      <c r="B2" s="4">
        <f>COUNTIFS(Movimientos!B:B,A2,Movimientos!D:D,"Entrada")</f>
        <v/>
      </c>
      <c r="C2" s="4">
        <f>COUNTIFS(Movimientos!B:B,A2,Movimientos!D:D,"Salida")</f>
        <v/>
      </c>
      <c r="D2" s="4">
        <f>SUMIFS(Movimientos!E:E,Movimientos!B:B,A2)</f>
        <v/>
      </c>
      <c r="E2" s="4">
        <f>MAX(B2-C2+5,B2)</f>
        <v/>
      </c>
      <c r="F2" s="2" t="inlineStr">
        <is>
          <t>17:00</t>
        </is>
      </c>
      <c r="G2" s="2" t="inlineStr">
        <is>
          <t>19:00</t>
        </is>
      </c>
      <c r="H2" s="4">
        <f>SUM(B$2:B2)</f>
        <v/>
      </c>
      <c r="I2" s="4">
        <f>ROUND(H2/1,0)</f>
        <v/>
      </c>
    </row>
    <row r="3">
      <c r="A3" s="3" t="inlineStr">
        <is>
          <t>2026-05-02</t>
        </is>
      </c>
      <c r="B3" s="4">
        <f>COUNTIFS(Movimientos!B:B,A3,Movimientos!D:D,"Entrada")</f>
        <v/>
      </c>
      <c r="C3" s="4">
        <f>COUNTIFS(Movimientos!B:B,A3,Movimientos!D:D,"Salida")</f>
        <v/>
      </c>
      <c r="D3" s="4">
        <f>SUMIFS(Movimientos!E:E,Movimientos!B:B,A3)</f>
        <v/>
      </c>
      <c r="E3" s="4">
        <f>MAX(B3-C3+5,B3)</f>
        <v/>
      </c>
      <c r="F3" s="3" t="inlineStr">
        <is>
          <t>17:00</t>
        </is>
      </c>
      <c r="G3" s="3" t="inlineStr">
        <is>
          <t>19:00</t>
        </is>
      </c>
      <c r="H3" s="4">
        <f>SUM(B$2:B3)</f>
        <v/>
      </c>
      <c r="I3" s="4">
        <f>ROUND(H3/2,0)</f>
        <v/>
      </c>
    </row>
    <row r="4">
      <c r="A4" s="2" t="inlineStr">
        <is>
          <t>2026-05-03</t>
        </is>
      </c>
      <c r="B4" s="4">
        <f>COUNTIFS(Movimientos!B:B,A4,Movimientos!D:D,"Entrada")</f>
        <v/>
      </c>
      <c r="C4" s="4">
        <f>COUNTIFS(Movimientos!B:B,A4,Movimientos!D:D,"Salida")</f>
        <v/>
      </c>
      <c r="D4" s="4">
        <f>SUMIFS(Movimientos!E:E,Movimientos!B:B,A4)</f>
        <v/>
      </c>
      <c r="E4" s="4">
        <f>MAX(B4-C4+5,B4)</f>
        <v/>
      </c>
      <c r="F4" s="2" t="inlineStr">
        <is>
          <t>17:00</t>
        </is>
      </c>
      <c r="G4" s="2" t="inlineStr">
        <is>
          <t>19:00</t>
        </is>
      </c>
      <c r="H4" s="4">
        <f>SUM(B$2:B4)</f>
        <v/>
      </c>
      <c r="I4" s="4">
        <f>ROUND(H4/3,0)</f>
        <v/>
      </c>
    </row>
    <row r="5">
      <c r="A5" s="3" t="inlineStr">
        <is>
          <t>2026-05-04</t>
        </is>
      </c>
      <c r="B5" s="4">
        <f>COUNTIFS(Movimientos!B:B,A5,Movimientos!D:D,"Entrada")</f>
        <v/>
      </c>
      <c r="C5" s="4">
        <f>COUNTIFS(Movimientos!B:B,A5,Movimientos!D:D,"Salida")</f>
        <v/>
      </c>
      <c r="D5" s="4">
        <f>SUMIFS(Movimientos!E:E,Movimientos!B:B,A5)</f>
        <v/>
      </c>
      <c r="E5" s="4">
        <f>MAX(B5-C5+5,B5)</f>
        <v/>
      </c>
      <c r="F5" s="3" t="inlineStr">
        <is>
          <t>17:00</t>
        </is>
      </c>
      <c r="G5" s="3" t="inlineStr">
        <is>
          <t>19:00</t>
        </is>
      </c>
      <c r="H5" s="4">
        <f>SUM(B$2:B5)</f>
        <v/>
      </c>
      <c r="I5" s="4">
        <f>ROUND(H5/4,0)</f>
        <v/>
      </c>
    </row>
    <row r="6">
      <c r="A6" s="2" t="inlineStr">
        <is>
          <t>2026-05-05</t>
        </is>
      </c>
      <c r="B6" s="4">
        <f>COUNTIFS(Movimientos!B:B,A6,Movimientos!D:D,"Entrada")</f>
        <v/>
      </c>
      <c r="C6" s="4">
        <f>COUNTIFS(Movimientos!B:B,A6,Movimientos!D:D,"Salida")</f>
        <v/>
      </c>
      <c r="D6" s="4">
        <f>SUMIFS(Movimientos!E:E,Movimientos!B:B,A6)</f>
        <v/>
      </c>
      <c r="E6" s="4">
        <f>MAX(B6-C6+5,B6)</f>
        <v/>
      </c>
      <c r="F6" s="2" t="inlineStr">
        <is>
          <t>17:00</t>
        </is>
      </c>
      <c r="G6" s="2" t="inlineStr">
        <is>
          <t>19:00</t>
        </is>
      </c>
      <c r="H6" s="4">
        <f>SUM(B$2:B6)</f>
        <v/>
      </c>
      <c r="I6" s="4">
        <f>ROUND(H6/5,0)</f>
        <v/>
      </c>
    </row>
    <row r="7">
      <c r="A7" s="3" t="inlineStr">
        <is>
          <t>2026-05-06</t>
        </is>
      </c>
      <c r="B7" s="4">
        <f>COUNTIFS(Movimientos!B:B,A7,Movimientos!D:D,"Entrada")</f>
        <v/>
      </c>
      <c r="C7" s="4">
        <f>COUNTIFS(Movimientos!B:B,A7,Movimientos!D:D,"Salida")</f>
        <v/>
      </c>
      <c r="D7" s="4">
        <f>SUMIFS(Movimientos!E:E,Movimientos!B:B,A7)</f>
        <v/>
      </c>
      <c r="E7" s="4">
        <f>MAX(B7-C7+5,B7)</f>
        <v/>
      </c>
      <c r="F7" s="3" t="inlineStr">
        <is>
          <t>17:00</t>
        </is>
      </c>
      <c r="G7" s="3" t="inlineStr">
        <is>
          <t>19:00</t>
        </is>
      </c>
      <c r="H7" s="4">
        <f>SUM(B$2:B7)</f>
        <v/>
      </c>
      <c r="I7" s="4">
        <f>ROUND(H7/6,0)</f>
        <v/>
      </c>
    </row>
    <row r="8">
      <c r="A8" s="2" t="inlineStr">
        <is>
          <t>2026-05-07</t>
        </is>
      </c>
      <c r="B8" s="4">
        <f>COUNTIFS(Movimientos!B:B,A8,Movimientos!D:D,"Entrada")</f>
        <v/>
      </c>
      <c r="C8" s="4">
        <f>COUNTIFS(Movimientos!B:B,A8,Movimientos!D:D,"Salida")</f>
        <v/>
      </c>
      <c r="D8" s="4">
        <f>SUMIFS(Movimientos!E:E,Movimientos!B:B,A8)</f>
        <v/>
      </c>
      <c r="E8" s="4">
        <f>MAX(B8-C8+5,B8)</f>
        <v/>
      </c>
      <c r="F8" s="2" t="inlineStr">
        <is>
          <t>17:00</t>
        </is>
      </c>
      <c r="G8" s="2" t="inlineStr">
        <is>
          <t>19:00</t>
        </is>
      </c>
      <c r="H8" s="4">
        <f>SUM(B$2:B8)</f>
        <v/>
      </c>
      <c r="I8" s="4">
        <f>ROUND(H8/7,0)</f>
        <v/>
      </c>
    </row>
    <row r="9">
      <c r="A9" s="3" t="inlineStr">
        <is>
          <t>2026-05-08</t>
        </is>
      </c>
      <c r="B9" s="4">
        <f>COUNTIFS(Movimientos!B:B,A9,Movimientos!D:D,"Entrada")</f>
        <v/>
      </c>
      <c r="C9" s="4">
        <f>COUNTIFS(Movimientos!B:B,A9,Movimientos!D:D,"Salida")</f>
        <v/>
      </c>
      <c r="D9" s="4">
        <f>SUMIFS(Movimientos!E:E,Movimientos!B:B,A9)</f>
        <v/>
      </c>
      <c r="E9" s="4">
        <f>MAX(B9-C9+5,B9)</f>
        <v/>
      </c>
      <c r="F9" s="3" t="inlineStr">
        <is>
          <t>17:00</t>
        </is>
      </c>
      <c r="G9" s="3" t="inlineStr">
        <is>
          <t>19:00</t>
        </is>
      </c>
      <c r="H9" s="4">
        <f>SUM(B$2:B9)</f>
        <v/>
      </c>
      <c r="I9" s="4">
        <f>ROUND(H9/8,0)</f>
        <v/>
      </c>
    </row>
    <row r="10"/>
    <row r="11">
      <c r="A11" s="5" t="inlineStr">
        <is>
          <t>TOTALES</t>
        </is>
      </c>
      <c r="B11" s="5">
        <f>SUM(B2:B9)</f>
        <v/>
      </c>
      <c r="C11" s="5">
        <f>SUM(C2:C9)</f>
        <v/>
      </c>
      <c r="D11" s="5">
        <f>SUM(D2:D9)</f>
        <v/>
      </c>
      <c r="E11" s="5">
        <f>MAX(E2:E9)</f>
        <v/>
      </c>
      <c r="F11" s="5" t="n"/>
      <c r="G11" s="5" t="n"/>
      <c r="H11" s="5">
        <f>H9</f>
        <v/>
      </c>
      <c r="I11" s="5">
        <f>ROUND(AVERAGE(I2:I9),0)</f>
        <v/>
      </c>
    </row>
    <row r="12"/>
    <row r="13">
      <c r="A13" s="6" t="inlineStr">
        <is>
          <t>📊 RESUMEN DE FÓRMULAS</t>
        </is>
      </c>
    </row>
    <row r="14">
      <c r="A14" s="7" t="inlineStr">
        <is>
          <t>Campo</t>
        </is>
      </c>
      <c r="B14" s="7" t="inlineStr">
        <is>
          <t>Fórmula (lógica)</t>
        </is>
      </c>
      <c r="C14" s="8" t="inlineStr"/>
      <c r="D14" s="7" t="inlineStr">
        <is>
          <t>Descripción</t>
        </is>
      </c>
    </row>
    <row r="15">
      <c r="A15" s="9" t="inlineStr">
        <is>
          <t>ingresos_dia</t>
        </is>
      </c>
      <c r="B15" s="10">
        <f>COUNTIFS(Movimientos!B:B, fecha, Movimientos!D:D, "Entrada")</f>
        <v/>
      </c>
      <c r="C15" s="11" t="n"/>
      <c r="D15" s="9" t="inlineStr">
        <is>
          <t>Cuenta entradas del día</t>
        </is>
      </c>
    </row>
    <row r="16">
      <c r="A16" s="12" t="inlineStr">
        <is>
          <t>salidas_dia</t>
        </is>
      </c>
      <c r="B16" s="13">
        <f>COUNTIFS(Movimientos!B:B, fecha, Movimientos!D:D, "Salida")</f>
        <v/>
      </c>
      <c r="C16" s="14" t="n"/>
      <c r="D16" s="12" t="inlineStr">
        <is>
          <t>Cuenta salidas del día</t>
        </is>
      </c>
    </row>
    <row r="17">
      <c r="A17" s="9" t="inlineStr">
        <is>
          <t>recaudacion_dia</t>
        </is>
      </c>
      <c r="B17" s="10">
        <f>SUMIFS(Movimientos!E:E, Movimientos!B:B, fecha)</f>
        <v/>
      </c>
      <c r="C17" s="11" t="n"/>
      <c r="D17" s="9" t="inlineStr">
        <is>
          <t>Suma montos cobrados ese día</t>
        </is>
      </c>
    </row>
    <row r="18">
      <c r="A18" s="12" t="inlineStr">
        <is>
          <t>ingresos_mes_acum</t>
        </is>
      </c>
      <c r="B18" s="13">
        <f>SUM(B$2:B[fila])</f>
        <v/>
      </c>
      <c r="C18" s="14" t="n"/>
      <c r="D18" s="12" t="inlineStr">
        <is>
          <t>Acumulado de ingresos en el mes</t>
        </is>
      </c>
    </row>
    <row r="19">
      <c r="A19" s="9" t="inlineStr">
        <is>
          <t>promedio_diario</t>
        </is>
      </c>
      <c r="B19" s="10">
        <f>ROUND(acumulado / día, 0)</f>
        <v/>
      </c>
      <c r="C19" s="11" t="n"/>
      <c r="D19" s="9" t="inlineStr">
        <is>
          <t>Promedio de ingresos por día</t>
        </is>
      </c>
    </row>
  </sheetData>
  <mergeCells count="1">
    <mergeCell ref="A13:I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1" customWidth="1" min="4" max="4"/>
    <col width="9" customWidth="1" min="5" max="5"/>
    <col width="22" customWidth="1" min="6" max="6"/>
  </cols>
  <sheetData>
    <row r="1">
      <c r="A1" s="1" t="inlineStr">
        <is>
          <t>usuario</t>
        </is>
      </c>
      <c r="B1" s="1" t="inlineStr">
        <is>
          <t>password</t>
        </is>
      </c>
      <c r="C1" s="1" t="inlineStr">
        <is>
          <t>nombre</t>
        </is>
      </c>
      <c r="D1" s="1" t="inlineStr">
        <is>
          <t>rol</t>
        </is>
      </c>
      <c r="E1" s="1" t="inlineStr">
        <is>
          <t>activo</t>
        </is>
      </c>
      <c r="F1" s="1" t="inlineStr">
        <is>
          <t>ultimo_login</t>
        </is>
      </c>
    </row>
    <row r="2">
      <c r="A2" s="2" t="inlineStr">
        <is>
          <t>admin</t>
        </is>
      </c>
      <c r="B2" s="2" t="inlineStr">
        <is>
          <t>admin123</t>
        </is>
      </c>
      <c r="C2" s="2" t="inlineStr">
        <is>
          <t>Administrador</t>
        </is>
      </c>
      <c r="D2" s="15" t="inlineStr">
        <is>
          <t>admin</t>
        </is>
      </c>
      <c r="E2" s="2" t="inlineStr">
        <is>
          <t>SI</t>
        </is>
      </c>
      <c r="F2" s="2" t="inlineStr">
        <is>
          <t>2026-05-08 10:30:00</t>
        </is>
      </c>
    </row>
    <row r="3">
      <c r="A3" s="3" t="inlineStr">
        <is>
          <t>operador</t>
        </is>
      </c>
      <c r="B3" s="3" t="inlineStr">
        <is>
          <t>oper123</t>
        </is>
      </c>
      <c r="C3" s="3" t="inlineStr">
        <is>
          <t>Juan Operador</t>
        </is>
      </c>
      <c r="D3" s="16" t="inlineStr">
        <is>
          <t>operador</t>
        </is>
      </c>
      <c r="E3" s="3" t="inlineStr">
        <is>
          <t>SI</t>
        </is>
      </c>
      <c r="F3" s="3" t="inlineStr">
        <is>
          <t>2026-05-08 08:00:00</t>
        </is>
      </c>
    </row>
    <row r="4">
      <c r="A4" s="2" t="inlineStr">
        <is>
          <t>visor</t>
        </is>
      </c>
      <c r="B4" s="2" t="inlineStr">
        <is>
          <t>visor123</t>
        </is>
      </c>
      <c r="C4" s="2" t="inlineStr">
        <is>
          <t>María Consulta</t>
        </is>
      </c>
      <c r="D4" s="17" t="inlineStr">
        <is>
          <t>visor</t>
        </is>
      </c>
      <c r="E4" s="2" t="inlineStr">
        <is>
          <t>SI</t>
        </is>
      </c>
      <c r="F4" s="2" t="inlineStr">
        <is>
          <t>2026-05-07 14:15:00</t>
        </is>
      </c>
    </row>
    <row r="5">
      <c r="A5" s="3" t="inlineStr">
        <is>
          <t>carlos</t>
        </is>
      </c>
      <c r="B5" s="3" t="inlineStr">
        <is>
          <t>carlos123</t>
        </is>
      </c>
      <c r="C5" s="3" t="inlineStr">
        <is>
          <t>Carlos López</t>
        </is>
      </c>
      <c r="D5" s="16" t="inlineStr">
        <is>
          <t>operador</t>
        </is>
      </c>
      <c r="E5" s="3" t="inlineStr">
        <is>
          <t>SI</t>
        </is>
      </c>
      <c r="F5" s="3" t="inlineStr">
        <is>
          <t>2026-05-06 09:00:00</t>
        </is>
      </c>
    </row>
    <row r="6">
      <c r="A6" s="18" t="inlineStr">
        <is>
          <t>ana</t>
        </is>
      </c>
      <c r="B6" s="18" t="inlineStr">
        <is>
          <t>ana123</t>
        </is>
      </c>
      <c r="C6" s="18" t="inlineStr">
        <is>
          <t>Ana Rodríguez</t>
        </is>
      </c>
      <c r="D6" s="19" t="inlineStr">
        <is>
          <t>visor</t>
        </is>
      </c>
      <c r="E6" s="18" t="inlineStr">
        <is>
          <t>NO</t>
        </is>
      </c>
      <c r="F6" s="18" t="inlineStr">
        <is>
          <t>2026-04-20 11:00:00</t>
        </is>
      </c>
    </row>
    <row r="7"/>
    <row r="8"/>
    <row r="9">
      <c r="A9" s="6" t="inlineStr">
        <is>
          <t>🔐 PERMISOS POR ROL</t>
        </is>
      </c>
    </row>
    <row r="10">
      <c r="A10" s="1" t="inlineStr">
        <is>
          <t>Permiso</t>
        </is>
      </c>
      <c r="B10" s="1" t="inlineStr">
        <is>
          <t>admin</t>
        </is>
      </c>
      <c r="C10" s="1" t="inlineStr">
        <is>
          <t>operador</t>
        </is>
      </c>
      <c r="D10" s="1" t="inlineStr">
        <is>
          <t>visor</t>
        </is>
      </c>
    </row>
    <row r="11">
      <c r="A11" s="2" t="inlineStr">
        <is>
          <t>Ver dashboard</t>
        </is>
      </c>
      <c r="B11" s="2" t="inlineStr">
        <is>
          <t>✅</t>
        </is>
      </c>
      <c r="C11" s="2" t="inlineStr">
        <is>
          <t>✅</t>
        </is>
      </c>
      <c r="D11" s="2" t="inlineStr">
        <is>
          <t>✅</t>
        </is>
      </c>
    </row>
    <row r="12">
      <c r="A12" s="3" t="inlineStr">
        <is>
          <t>Ver estadísticas</t>
        </is>
      </c>
      <c r="B12" s="3" t="inlineStr">
        <is>
          <t>✅</t>
        </is>
      </c>
      <c r="C12" s="3" t="inlineStr">
        <is>
          <t>✅</t>
        </is>
      </c>
      <c r="D12" s="3" t="inlineStr">
        <is>
          <t>✅</t>
        </is>
      </c>
    </row>
    <row r="13">
      <c r="A13" s="2" t="inlineStr">
        <is>
          <t>Abrir barrera</t>
        </is>
      </c>
      <c r="B13" s="2" t="inlineStr">
        <is>
          <t>✅</t>
        </is>
      </c>
      <c r="C13" s="2" t="inlineStr">
        <is>
          <t>✅</t>
        </is>
      </c>
      <c r="D13" s="2" t="inlineStr">
        <is>
          <t>❌</t>
        </is>
      </c>
    </row>
    <row r="14">
      <c r="A14" s="3" t="inlineStr">
        <is>
          <t>Ver historial</t>
        </is>
      </c>
      <c r="B14" s="3" t="inlineStr">
        <is>
          <t>✅</t>
        </is>
      </c>
      <c r="C14" s="3" t="inlineStr">
        <is>
          <t>✅</t>
        </is>
      </c>
      <c r="D14" s="3" t="inlineStr">
        <is>
          <t>❌</t>
        </is>
      </c>
    </row>
    <row r="15">
      <c r="A15" s="2" t="inlineStr">
        <is>
          <t>Ver vehículos</t>
        </is>
      </c>
      <c r="B15" s="2" t="inlineStr">
        <is>
          <t>✅</t>
        </is>
      </c>
      <c r="C15" s="2" t="inlineStr">
        <is>
          <t>✅</t>
        </is>
      </c>
      <c r="D15" s="2" t="inlineStr">
        <is>
          <t>❌</t>
        </is>
      </c>
    </row>
    <row r="16">
      <c r="A16" s="3" t="inlineStr">
        <is>
          <t>Gestionar vehículos</t>
        </is>
      </c>
      <c r="B16" s="3" t="inlineStr">
        <is>
          <t>✅</t>
        </is>
      </c>
      <c r="C16" s="3" t="inlineStr">
        <is>
          <t>❌</t>
        </is>
      </c>
      <c r="D16" s="3" t="inlineStr">
        <is>
          <t>❌</t>
        </is>
      </c>
    </row>
    <row r="17">
      <c r="A17" s="2" t="inlineStr">
        <is>
          <t>Ver deudas</t>
        </is>
      </c>
      <c r="B17" s="2" t="inlineStr">
        <is>
          <t>✅</t>
        </is>
      </c>
      <c r="C17" s="2" t="inlineStr">
        <is>
          <t>✅</t>
        </is>
      </c>
      <c r="D17" s="2" t="inlineStr">
        <is>
          <t>❌</t>
        </is>
      </c>
    </row>
    <row r="18">
      <c r="A18" s="3" t="inlineStr">
        <is>
          <t>Cobrar deudas</t>
        </is>
      </c>
      <c r="B18" s="3" t="inlineStr">
        <is>
          <t>✅</t>
        </is>
      </c>
      <c r="C18" s="3" t="inlineStr">
        <is>
          <t>❌</t>
        </is>
      </c>
      <c r="D18" s="3" t="inlineStr">
        <is>
          <t>❌</t>
        </is>
      </c>
    </row>
    <row r="19">
      <c r="A19" s="2" t="inlineStr">
        <is>
          <t>Ver reportes</t>
        </is>
      </c>
      <c r="B19" s="2" t="inlineStr">
        <is>
          <t>✅</t>
        </is>
      </c>
      <c r="C19" s="2" t="inlineStr">
        <is>
          <t>❌</t>
        </is>
      </c>
      <c r="D19" s="2" t="inlineStr">
        <is>
          <t>❌</t>
        </is>
      </c>
    </row>
    <row r="20">
      <c r="A20" s="3" t="inlineStr">
        <is>
          <t>Configuración</t>
        </is>
      </c>
      <c r="B20" s="3" t="inlineStr">
        <is>
          <t>✅</t>
        </is>
      </c>
      <c r="C20" s="3" t="inlineStr">
        <is>
          <t>❌</t>
        </is>
      </c>
      <c r="D20" s="3" t="inlineStr">
        <is>
          <t>❌</t>
        </is>
      </c>
    </row>
    <row r="21">
      <c r="A21" s="2" t="inlineStr">
        <is>
          <t>Gestionar usuarios</t>
        </is>
      </c>
      <c r="B21" s="2" t="inlineStr">
        <is>
          <t>✅</t>
        </is>
      </c>
      <c r="C21" s="2" t="inlineStr">
        <is>
          <t>❌</t>
        </is>
      </c>
      <c r="D21" s="2" t="inlineStr">
        <is>
          <t>❌</t>
        </is>
      </c>
    </row>
  </sheetData>
  <mergeCells count="1">
    <mergeCell ref="A9:F9"/>
  </mergeCells>
  <dataValidations count="2">
    <dataValidation sqref="D2:D100" showDropDown="0" showInputMessage="0" showErrorMessage="0" allowBlank="0" error="Roles válidos: admin, operador, visor" type="list">
      <formula1>"admin,operador,visor"</formula1>
    </dataValidation>
    <dataValidation sqref="E2:E1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B8A6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30" customWidth="1" min="4" max="4"/>
    <col width="5" customWidth="1" min="5" max="5"/>
    <col width="5" customWidth="1" min="6" max="6"/>
  </cols>
  <sheetData>
    <row r="1">
      <c r="A1" s="20" t="inlineStr">
        <is>
          <t>📊 PARKCONTROL - RESUMEN EN TIEMPO REAL</t>
        </is>
      </c>
    </row>
    <row r="2"/>
    <row r="3">
      <c r="A3" s="21" t="inlineStr">
        <is>
          <t>INDICADOR</t>
        </is>
      </c>
      <c r="B3" s="21" t="inlineStr">
        <is>
          <t>VALOR</t>
        </is>
      </c>
      <c r="C3" s="21" t="inlineStr">
        <is>
          <t>FÓRMULA APLICADA</t>
        </is>
      </c>
    </row>
    <row r="4">
      <c r="A4" s="22" t="inlineStr">
        <is>
          <t>Capacidad Total</t>
        </is>
      </c>
      <c r="B4" s="23">
        <f>VLOOKUP("capacidad_total",Configuracion!A:B,2,FALSE)</f>
        <v/>
      </c>
      <c r="C4" s="24" t="inlineStr">
        <is>
          <t>VLOOKUP("capacidad_total",Configuracion!A:B,2,FALSE)</t>
        </is>
      </c>
    </row>
    <row r="5">
      <c r="A5" s="25" t="inlineStr">
        <is>
          <t>Vehículos Registrados</t>
        </is>
      </c>
      <c r="B5" s="26">
        <f>COUNTA(Vehiculos!A:A)-1</f>
        <v/>
      </c>
      <c r="C5" s="27" t="inlineStr">
        <is>
          <t>COUNTA(Vehiculos!A:A)-1</t>
        </is>
      </c>
    </row>
    <row r="6">
      <c r="A6" s="22" t="inlineStr">
        <is>
          <t>Vehículos Habilitados</t>
        </is>
      </c>
      <c r="B6" s="23">
        <f>COUNTIF(Vehiculos!D:D,"SI")</f>
        <v/>
      </c>
      <c r="C6" s="24" t="inlineStr">
        <is>
          <t>COUNTIF(Vehiculos!D:D,"SI")</t>
        </is>
      </c>
    </row>
    <row r="7">
      <c r="A7" s="25" t="inlineStr">
        <is>
          <t>Vehículos con Deuda</t>
        </is>
      </c>
      <c r="B7" s="26">
        <f>COUNTIF(Vehiculos!F2:F1000,"&gt;"&amp;0)</f>
        <v/>
      </c>
      <c r="C7" s="27" t="inlineStr">
        <is>
          <t>COUNTIF(Vehiculos!F2:F1000,"&gt;"&amp;0)</t>
        </is>
      </c>
    </row>
    <row r="8">
      <c r="A8" s="22" t="inlineStr">
        <is>
          <t>Deuda Total</t>
        </is>
      </c>
      <c r="B8" s="23">
        <f>SUMIF(Vehiculos!F2:F1000,"&gt;"&amp;0,Vehiculos!F2:F1000)</f>
        <v/>
      </c>
      <c r="C8" s="24" t="inlineStr">
        <is>
          <t>SUMIF(Vehiculos!F2:F1000,"&gt;"&amp;0,Vehiculos!F2:F1000)</t>
        </is>
      </c>
    </row>
    <row r="9">
      <c r="A9" s="25" t="inlineStr">
        <is>
          <t>Total Movimientos</t>
        </is>
      </c>
      <c r="B9" s="26">
        <f>COUNTA(Movimientos!A:A)-1</f>
        <v/>
      </c>
      <c r="C9" s="27" t="inlineStr">
        <is>
          <t>COUNTA(Movimientos!A:A)-1</t>
        </is>
      </c>
    </row>
    <row r="10">
      <c r="A10" s="22" t="inlineStr">
        <is>
          <t>Total Entradas</t>
        </is>
      </c>
      <c r="B10" s="23">
        <f>COUNTIF(Movimientos!D:D,"Entrada")</f>
        <v/>
      </c>
      <c r="C10" s="24" t="inlineStr">
        <is>
          <t>COUNTIF(Movimientos!D:D,"Entrada")</t>
        </is>
      </c>
    </row>
    <row r="11">
      <c r="A11" s="25" t="inlineStr">
        <is>
          <t>Total Salidas</t>
        </is>
      </c>
      <c r="B11" s="26">
        <f>COUNTIF(Movimientos!D:D,"Salida")</f>
        <v/>
      </c>
      <c r="C11" s="27" t="inlineStr">
        <is>
          <t>COUNTIF(Movimientos!D:D,"Salida")</t>
        </is>
      </c>
    </row>
    <row r="12">
      <c r="A12" s="22" t="inlineStr">
        <is>
          <t>Recaudación Total</t>
        </is>
      </c>
      <c r="B12" s="23">
        <f>SUM(Movimientos!E:E)</f>
        <v/>
      </c>
      <c r="C12" s="24" t="inlineStr">
        <is>
          <t>SUM(Movimientos!E:E)</t>
        </is>
      </c>
    </row>
    <row r="13">
      <c r="A13" s="25" t="inlineStr">
        <is>
          <t>Usuarios Activos</t>
        </is>
      </c>
      <c r="B13" s="26">
        <f>COUNTIF(Usuarios!E:E,"SI")</f>
        <v/>
      </c>
      <c r="C13" s="27" t="inlineStr">
        <is>
          <t>COUNTIF(Usuarios!E:E,"SI")</t>
        </is>
      </c>
    </row>
    <row r="14">
      <c r="A14" s="22" t="inlineStr">
        <is>
          <t>Abonados</t>
        </is>
      </c>
      <c r="B14" s="23">
        <f>COUNTIF(Vehiculos!E:E,"SI")</f>
        <v/>
      </c>
      <c r="C14" s="24" t="inlineStr">
        <is>
          <t>COUNTIF(Vehiculos!E:E,"SI")</t>
        </is>
      </c>
    </row>
    <row r="15">
      <c r="A15" s="25" t="inlineStr">
        <is>
          <t>Tarifa por Hora</t>
        </is>
      </c>
      <c r="B15" s="26">
        <f>VLOOKUP("tarifa_hora",Configuracion!A:B,2,FALSE)</f>
        <v/>
      </c>
      <c r="C15" s="27" t="inlineStr">
        <is>
          <t>VLOOKUP("tarifa_hora",Configuracion!A:B,2,FALSE)</t>
        </is>
      </c>
    </row>
    <row r="16"/>
    <row r="17"/>
    <row r="18">
      <c r="A18" s="6" t="inlineStr">
        <is>
          <t>💰 TOP DEUDORES</t>
        </is>
      </c>
    </row>
    <row r="19">
      <c r="A19" s="21" t="inlineStr">
        <is>
          <t>#</t>
        </is>
      </c>
      <c r="B19" s="21" t="inlineStr">
        <is>
          <t>Patente</t>
        </is>
      </c>
      <c r="C19" s="21" t="inlineStr">
        <is>
          <t>Titular</t>
        </is>
      </c>
      <c r="D19" s="21" t="inlineStr">
        <is>
          <t>Deuda</t>
        </is>
      </c>
    </row>
    <row r="20">
      <c r="A20" s="28" t="n">
        <v>1</v>
      </c>
      <c r="B20" s="28" t="inlineStr">
        <is>
          <t>AK444LL</t>
        </is>
      </c>
      <c r="C20" s="28">
        <f>VLOOKUP(B20,Vehiculos!A:B,2,FALSE)</f>
        <v/>
      </c>
      <c r="D20" s="29">
        <f>VLOOKUP(B20,Vehiculos!A:F,6,FALSE)</f>
        <v/>
      </c>
    </row>
    <row r="21">
      <c r="A21" s="28" t="n">
        <v>2</v>
      </c>
      <c r="B21" s="28" t="inlineStr">
        <is>
          <t>AC456DF</t>
        </is>
      </c>
      <c r="C21" s="28">
        <f>VLOOKUP(B21,Vehiculos!A:B,2,FALSE)</f>
        <v/>
      </c>
      <c r="D21" s="29">
        <f>VLOOKUP(B21,Vehiculos!A:F,6,FALSE)</f>
        <v/>
      </c>
    </row>
    <row r="22">
      <c r="A22" s="28" t="n">
        <v>3</v>
      </c>
      <c r="B22" s="28" t="inlineStr">
        <is>
          <t>AD111EF</t>
        </is>
      </c>
      <c r="C22" s="28">
        <f>VLOOKUP(B22,Vehiculos!A:B,2,FALSE)</f>
        <v/>
      </c>
      <c r="D22" s="29">
        <f>VLOOKUP(B22,Vehiculos!A:F,6,FALSE)</f>
        <v/>
      </c>
    </row>
    <row r="23">
      <c r="A23" s="28" t="n">
        <v>4</v>
      </c>
      <c r="B23" s="28" t="inlineStr">
        <is>
          <t>AG222HH</t>
        </is>
      </c>
      <c r="C23" s="28">
        <f>VLOOKUP(B23,Vehiculos!A:B,2,FALSE)</f>
        <v/>
      </c>
      <c r="D23" s="29">
        <f>VLOOKUP(B23,Vehiculos!A:F,6,FALSE)</f>
        <v/>
      </c>
    </row>
    <row r="24">
      <c r="A24" s="28" t="n">
        <v>5</v>
      </c>
      <c r="B24" s="28" t="inlineStr">
        <is>
          <t>AI333JJ</t>
        </is>
      </c>
      <c r="C24" s="28">
        <f>VLOOKUP(B24,Vehiculos!A:B,2,FALSE)</f>
        <v/>
      </c>
      <c r="D24" s="29">
        <f>VLOOKUP(B24,Vehiculos!A:F,6,FALSE)</f>
        <v/>
      </c>
    </row>
  </sheetData>
  <mergeCells count="2"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2026-05-12T23:15:50Z</dcterms:created>
  <dcterms:modified xsi:type="dcterms:W3CDTF">2026-05-12T23:15:50Z</dcterms:modified>
</cp:coreProperties>
</file>